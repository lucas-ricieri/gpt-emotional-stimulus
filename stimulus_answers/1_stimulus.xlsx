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FPR\Engenharia software experimental\Pacote-replicação-diferenciada\stimulus_answers\"/>
    </mc:Choice>
  </mc:AlternateContent>
  <xr:revisionPtr revIDLastSave="0" documentId="13_ncr:1_{9CAAA712-716A-4CDF-9324-82B1816A1D34}" xr6:coauthVersionLast="47" xr6:coauthVersionMax="47" xr10:uidLastSave="{00000000-0000-0000-0000-000000000000}"/>
  <bookViews>
    <workbookView xWindow="1440" yWindow="948" windowWidth="21600" windowHeight="11292" firstSheet="4" activeTab="9" xr2:uid="{EA843604-6C2D-FF41-B50A-0B9EA0DE6259}"/>
  </bookViews>
  <sheets>
    <sheet name="Context" sheetId="1" r:id="rId1"/>
    <sheet name="Demographics" sheetId="2" r:id="rId2"/>
    <sheet name="Emotional Stimulus" sheetId="5" r:id="rId3"/>
    <sheet name="Questions" sheetId="4" r:id="rId4"/>
    <sheet name="answersEP01" sheetId="3" r:id="rId5"/>
    <sheet name="answersEP02" sheetId="6" r:id="rId6"/>
    <sheet name="answersEP03" sheetId="7" r:id="rId7"/>
    <sheet name="answersEP04" sheetId="8" r:id="rId8"/>
    <sheet name="answersEP05" sheetId="9" r:id="rId9"/>
    <sheet name="answersEP06" sheetId="10" r:id="rId10"/>
    <sheet name="answersEP07" sheetId="11" r:id="rId11"/>
    <sheet name="answersEP08" sheetId="12" r:id="rId12"/>
    <sheet name="answersEP09" sheetId="13" r:id="rId13"/>
    <sheet name="answersEP10" sheetId="14" r:id="rId14"/>
    <sheet name="answersEP11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5" l="1"/>
  <c r="J29" i="15"/>
  <c r="M28" i="15"/>
  <c r="J28" i="15"/>
  <c r="M27" i="15"/>
  <c r="J27" i="15"/>
  <c r="M26" i="15"/>
  <c r="J26" i="15"/>
  <c r="M25" i="15"/>
  <c r="J25" i="15"/>
  <c r="M24" i="15"/>
  <c r="J24" i="15"/>
  <c r="M23" i="15"/>
  <c r="J23" i="15"/>
  <c r="M22" i="15"/>
  <c r="J22" i="15"/>
  <c r="M21" i="15"/>
  <c r="J21" i="15"/>
  <c r="M20" i="15"/>
  <c r="J20" i="15"/>
  <c r="M19" i="15"/>
  <c r="M18" i="15"/>
  <c r="M17" i="15"/>
  <c r="M16" i="15"/>
  <c r="M15" i="15"/>
  <c r="M14" i="15"/>
  <c r="M13" i="15"/>
  <c r="M12" i="15"/>
  <c r="M11" i="15"/>
  <c r="J11" i="15"/>
  <c r="M10" i="15"/>
  <c r="J10" i="15"/>
  <c r="M9" i="15"/>
  <c r="J9" i="15"/>
  <c r="M8" i="15"/>
  <c r="J8" i="15"/>
  <c r="M7" i="15"/>
  <c r="J7" i="15"/>
  <c r="M6" i="15"/>
  <c r="J6" i="15"/>
  <c r="M5" i="15"/>
  <c r="J5" i="15"/>
  <c r="M4" i="15"/>
  <c r="J4" i="15"/>
  <c r="M3" i="15"/>
  <c r="J3" i="15"/>
  <c r="M2" i="15"/>
  <c r="J2" i="15"/>
  <c r="M29" i="14"/>
  <c r="J29" i="14"/>
  <c r="M28" i="14"/>
  <c r="J28" i="14"/>
  <c r="M27" i="14"/>
  <c r="J27" i="14"/>
  <c r="M26" i="14"/>
  <c r="J26" i="14"/>
  <c r="M25" i="14"/>
  <c r="J25" i="14"/>
  <c r="M24" i="14"/>
  <c r="J24" i="14"/>
  <c r="M23" i="14"/>
  <c r="J23" i="14"/>
  <c r="M22" i="14"/>
  <c r="J22" i="14"/>
  <c r="M21" i="14"/>
  <c r="J21" i="14"/>
  <c r="M20" i="14"/>
  <c r="J20" i="14"/>
  <c r="M19" i="14"/>
  <c r="M18" i="14"/>
  <c r="M17" i="14"/>
  <c r="M16" i="14"/>
  <c r="M15" i="14"/>
  <c r="M14" i="14"/>
  <c r="M13" i="14"/>
  <c r="M12" i="14"/>
  <c r="M11" i="14"/>
  <c r="J11" i="14"/>
  <c r="M10" i="14"/>
  <c r="J10" i="14"/>
  <c r="M9" i="14"/>
  <c r="J9" i="14"/>
  <c r="M8" i="14"/>
  <c r="J8" i="14"/>
  <c r="M7" i="14"/>
  <c r="J7" i="14"/>
  <c r="M6" i="14"/>
  <c r="J6" i="14"/>
  <c r="M5" i="14"/>
  <c r="J5" i="14"/>
  <c r="M4" i="14"/>
  <c r="J4" i="14"/>
  <c r="M3" i="14"/>
  <c r="J3" i="14"/>
  <c r="M2" i="14"/>
  <c r="J2" i="14"/>
  <c r="M29" i="13"/>
  <c r="J29" i="13"/>
  <c r="M28" i="13"/>
  <c r="J28" i="13"/>
  <c r="M27" i="13"/>
  <c r="J27" i="13"/>
  <c r="M26" i="13"/>
  <c r="J26" i="13"/>
  <c r="M25" i="13"/>
  <c r="J25" i="13"/>
  <c r="M24" i="13"/>
  <c r="J24" i="13"/>
  <c r="M23" i="13"/>
  <c r="J23" i="13"/>
  <c r="M22" i="13"/>
  <c r="J22" i="13"/>
  <c r="M21" i="13"/>
  <c r="J21" i="13"/>
  <c r="M20" i="13"/>
  <c r="J20" i="13"/>
  <c r="M19" i="13"/>
  <c r="M18" i="13"/>
  <c r="M17" i="13"/>
  <c r="M16" i="13"/>
  <c r="M15" i="13"/>
  <c r="M14" i="13"/>
  <c r="M13" i="13"/>
  <c r="M12" i="13"/>
  <c r="M11" i="13"/>
  <c r="J11" i="13"/>
  <c r="M10" i="13"/>
  <c r="J10" i="13"/>
  <c r="M9" i="13"/>
  <c r="J9" i="13"/>
  <c r="M8" i="13"/>
  <c r="J8" i="13"/>
  <c r="M7" i="13"/>
  <c r="J7" i="13"/>
  <c r="M6" i="13"/>
  <c r="J6" i="13"/>
  <c r="M5" i="13"/>
  <c r="J5" i="13"/>
  <c r="M4" i="13"/>
  <c r="J4" i="13"/>
  <c r="M3" i="13"/>
  <c r="J3" i="13"/>
  <c r="M2" i="13"/>
  <c r="J2" i="13"/>
  <c r="M29" i="12"/>
  <c r="J29" i="12"/>
  <c r="M28" i="12"/>
  <c r="J28" i="12"/>
  <c r="M27" i="12"/>
  <c r="J27" i="12"/>
  <c r="M26" i="12"/>
  <c r="J26" i="12"/>
  <c r="M25" i="12"/>
  <c r="J25" i="12"/>
  <c r="M24" i="12"/>
  <c r="J24" i="12"/>
  <c r="M23" i="12"/>
  <c r="J23" i="12"/>
  <c r="M22" i="12"/>
  <c r="J22" i="12"/>
  <c r="M21" i="12"/>
  <c r="J21" i="12"/>
  <c r="M20" i="12"/>
  <c r="J20" i="12"/>
  <c r="M19" i="12"/>
  <c r="M18" i="12"/>
  <c r="M17" i="12"/>
  <c r="M16" i="12"/>
  <c r="M15" i="12"/>
  <c r="M14" i="12"/>
  <c r="M13" i="12"/>
  <c r="M12" i="12"/>
  <c r="M11" i="12"/>
  <c r="J11" i="12"/>
  <c r="M10" i="12"/>
  <c r="J10" i="12"/>
  <c r="M9" i="12"/>
  <c r="J9" i="12"/>
  <c r="M8" i="12"/>
  <c r="J8" i="12"/>
  <c r="M7" i="12"/>
  <c r="J7" i="12"/>
  <c r="M6" i="12"/>
  <c r="J6" i="12"/>
  <c r="M5" i="12"/>
  <c r="J5" i="12"/>
  <c r="M4" i="12"/>
  <c r="J4" i="12"/>
  <c r="M3" i="12"/>
  <c r="J3" i="12"/>
  <c r="M2" i="12"/>
  <c r="J2" i="12"/>
  <c r="M29" i="11"/>
  <c r="J29" i="11"/>
  <c r="M28" i="11"/>
  <c r="J28" i="11"/>
  <c r="M27" i="11"/>
  <c r="J27" i="11"/>
  <c r="M26" i="11"/>
  <c r="J26" i="11"/>
  <c r="M25" i="11"/>
  <c r="J25" i="11"/>
  <c r="M24" i="11"/>
  <c r="J24" i="11"/>
  <c r="M23" i="11"/>
  <c r="J23" i="11"/>
  <c r="M22" i="11"/>
  <c r="J22" i="11"/>
  <c r="M21" i="11"/>
  <c r="J21" i="11"/>
  <c r="M20" i="11"/>
  <c r="J20" i="11"/>
  <c r="M19" i="11"/>
  <c r="M18" i="11"/>
  <c r="M17" i="11"/>
  <c r="M16" i="11"/>
  <c r="M15" i="11"/>
  <c r="M14" i="11"/>
  <c r="M13" i="11"/>
  <c r="M12" i="11"/>
  <c r="M11" i="11"/>
  <c r="J11" i="11"/>
  <c r="M10" i="11"/>
  <c r="J10" i="11"/>
  <c r="M9" i="11"/>
  <c r="J9" i="11"/>
  <c r="M8" i="11"/>
  <c r="J8" i="11"/>
  <c r="M7" i="11"/>
  <c r="J7" i="11"/>
  <c r="M6" i="11"/>
  <c r="J6" i="11"/>
  <c r="M5" i="11"/>
  <c r="J5" i="11"/>
  <c r="M4" i="11"/>
  <c r="J4" i="11"/>
  <c r="M3" i="11"/>
  <c r="J3" i="11"/>
  <c r="M2" i="11"/>
  <c r="J2" i="11"/>
  <c r="N29" i="10"/>
  <c r="K29" i="10"/>
  <c r="N28" i="10"/>
  <c r="K28" i="10"/>
  <c r="N27" i="10"/>
  <c r="K27" i="10"/>
  <c r="N26" i="10"/>
  <c r="K26" i="10"/>
  <c r="N25" i="10"/>
  <c r="K25" i="10"/>
  <c r="N24" i="10"/>
  <c r="K24" i="10"/>
  <c r="N23" i="10"/>
  <c r="K23" i="10"/>
  <c r="N22" i="10"/>
  <c r="K22" i="10"/>
  <c r="N21" i="10"/>
  <c r="K21" i="10"/>
  <c r="N20" i="10"/>
  <c r="K20" i="10"/>
  <c r="N19" i="10"/>
  <c r="N18" i="10"/>
  <c r="N17" i="10"/>
  <c r="N16" i="10"/>
  <c r="N15" i="10"/>
  <c r="N14" i="10"/>
  <c r="N13" i="10"/>
  <c r="N12" i="10"/>
  <c r="N11" i="10"/>
  <c r="K11" i="10"/>
  <c r="N10" i="10"/>
  <c r="K10" i="10"/>
  <c r="N9" i="10"/>
  <c r="K9" i="10"/>
  <c r="N8" i="10"/>
  <c r="K8" i="10"/>
  <c r="N7" i="10"/>
  <c r="K7" i="10"/>
  <c r="N6" i="10"/>
  <c r="K6" i="10"/>
  <c r="N5" i="10"/>
  <c r="K5" i="10"/>
  <c r="N4" i="10"/>
  <c r="K4" i="10"/>
  <c r="N3" i="10"/>
  <c r="K3" i="10"/>
  <c r="N2" i="10"/>
  <c r="K2" i="10"/>
  <c r="N29" i="9"/>
  <c r="K29" i="9"/>
  <c r="N28" i="9"/>
  <c r="K28" i="9"/>
  <c r="N27" i="9"/>
  <c r="K27" i="9"/>
  <c r="N26" i="9"/>
  <c r="K26" i="9"/>
  <c r="N25" i="9"/>
  <c r="K25" i="9"/>
  <c r="N24" i="9"/>
  <c r="K24" i="9"/>
  <c r="N23" i="9"/>
  <c r="K23" i="9"/>
  <c r="N22" i="9"/>
  <c r="K22" i="9"/>
  <c r="N21" i="9"/>
  <c r="K21" i="9"/>
  <c r="N20" i="9"/>
  <c r="K20" i="9"/>
  <c r="N19" i="9"/>
  <c r="N18" i="9"/>
  <c r="N17" i="9"/>
  <c r="N16" i="9"/>
  <c r="N15" i="9"/>
  <c r="N14" i="9"/>
  <c r="N13" i="9"/>
  <c r="N12" i="9"/>
  <c r="N11" i="9"/>
  <c r="K11" i="9"/>
  <c r="N10" i="9"/>
  <c r="K10" i="9"/>
  <c r="N9" i="9"/>
  <c r="K9" i="9"/>
  <c r="N8" i="9"/>
  <c r="K8" i="9"/>
  <c r="N7" i="9"/>
  <c r="K7" i="9"/>
  <c r="N6" i="9"/>
  <c r="K6" i="9"/>
  <c r="N5" i="9"/>
  <c r="K5" i="9"/>
  <c r="N4" i="9"/>
  <c r="K4" i="9"/>
  <c r="N3" i="9"/>
  <c r="K3" i="9"/>
  <c r="N2" i="9"/>
  <c r="K2" i="9"/>
  <c r="N29" i="8"/>
  <c r="K29" i="8"/>
  <c r="N28" i="8"/>
  <c r="K28" i="8"/>
  <c r="N27" i="8"/>
  <c r="K27" i="8"/>
  <c r="N26" i="8"/>
  <c r="K26" i="8"/>
  <c r="N25" i="8"/>
  <c r="K25" i="8"/>
  <c r="N24" i="8"/>
  <c r="K24" i="8"/>
  <c r="N23" i="8"/>
  <c r="K23" i="8"/>
  <c r="N22" i="8"/>
  <c r="K22" i="8"/>
  <c r="N21" i="8"/>
  <c r="K21" i="8"/>
  <c r="N20" i="8"/>
  <c r="K20" i="8"/>
  <c r="N19" i="8"/>
  <c r="N18" i="8"/>
  <c r="N17" i="8"/>
  <c r="N16" i="8"/>
  <c r="N15" i="8"/>
  <c r="N14" i="8"/>
  <c r="N13" i="8"/>
  <c r="N12" i="8"/>
  <c r="N11" i="8"/>
  <c r="K11" i="8"/>
  <c r="N10" i="8"/>
  <c r="K10" i="8"/>
  <c r="N9" i="8"/>
  <c r="K9" i="8"/>
  <c r="N8" i="8"/>
  <c r="K8" i="8"/>
  <c r="N7" i="8"/>
  <c r="K7" i="8"/>
  <c r="N6" i="8"/>
  <c r="K6" i="8"/>
  <c r="N5" i="8"/>
  <c r="K5" i="8"/>
  <c r="N4" i="8"/>
  <c r="K4" i="8"/>
  <c r="N3" i="8"/>
  <c r="K3" i="8"/>
  <c r="N2" i="8"/>
  <c r="K2" i="8"/>
  <c r="N29" i="7"/>
  <c r="K29" i="7"/>
  <c r="N28" i="7"/>
  <c r="K28" i="7"/>
  <c r="N27" i="7"/>
  <c r="K27" i="7"/>
  <c r="N26" i="7"/>
  <c r="K26" i="7"/>
  <c r="N25" i="7"/>
  <c r="K25" i="7"/>
  <c r="N24" i="7"/>
  <c r="K24" i="7"/>
  <c r="N23" i="7"/>
  <c r="K23" i="7"/>
  <c r="N22" i="7"/>
  <c r="K22" i="7"/>
  <c r="N21" i="7"/>
  <c r="K21" i="7"/>
  <c r="N20" i="7"/>
  <c r="K20" i="7"/>
  <c r="N19" i="7"/>
  <c r="N18" i="7"/>
  <c r="N17" i="7"/>
  <c r="N16" i="7"/>
  <c r="N15" i="7"/>
  <c r="N14" i="7"/>
  <c r="N13" i="7"/>
  <c r="N12" i="7"/>
  <c r="N11" i="7"/>
  <c r="K11" i="7"/>
  <c r="N10" i="7"/>
  <c r="K10" i="7"/>
  <c r="N9" i="7"/>
  <c r="K9" i="7"/>
  <c r="N8" i="7"/>
  <c r="K8" i="7"/>
  <c r="N7" i="7"/>
  <c r="K7" i="7"/>
  <c r="N6" i="7"/>
  <c r="K6" i="7"/>
  <c r="N5" i="7"/>
  <c r="K5" i="7"/>
  <c r="N4" i="7"/>
  <c r="K4" i="7"/>
  <c r="N3" i="7"/>
  <c r="K3" i="7"/>
  <c r="N2" i="7"/>
  <c r="K2" i="7"/>
  <c r="N29" i="6"/>
  <c r="K29" i="6"/>
  <c r="N28" i="6"/>
  <c r="K28" i="6"/>
  <c r="N27" i="6"/>
  <c r="K27" i="6"/>
  <c r="N26" i="6"/>
  <c r="K26" i="6"/>
  <c r="N25" i="6"/>
  <c r="K25" i="6"/>
  <c r="N24" i="6"/>
  <c r="K24" i="6"/>
  <c r="N23" i="6"/>
  <c r="K23" i="6"/>
  <c r="N22" i="6"/>
  <c r="K22" i="6"/>
  <c r="N21" i="6"/>
  <c r="K21" i="6"/>
  <c r="N20" i="6"/>
  <c r="K20" i="6"/>
  <c r="N19" i="6"/>
  <c r="N18" i="6"/>
  <c r="N17" i="6"/>
  <c r="N16" i="6"/>
  <c r="N15" i="6"/>
  <c r="N14" i="6"/>
  <c r="N13" i="6"/>
  <c r="N12" i="6"/>
  <c r="N11" i="6"/>
  <c r="K11" i="6"/>
  <c r="N10" i="6"/>
  <c r="K10" i="6"/>
  <c r="N9" i="6"/>
  <c r="K9" i="6"/>
  <c r="N8" i="6"/>
  <c r="K8" i="6"/>
  <c r="N7" i="6"/>
  <c r="K7" i="6"/>
  <c r="N6" i="6"/>
  <c r="K6" i="6"/>
  <c r="N5" i="6"/>
  <c r="K5" i="6"/>
  <c r="N4" i="6"/>
  <c r="K4" i="6"/>
  <c r="N3" i="6"/>
  <c r="K3" i="6"/>
  <c r="N2" i="6"/>
  <c r="K2" i="6"/>
  <c r="K5" i="3"/>
  <c r="K6" i="3"/>
  <c r="K7" i="3"/>
  <c r="K8" i="3"/>
  <c r="K9" i="3"/>
  <c r="K10" i="3"/>
  <c r="K11" i="3"/>
  <c r="K20" i="3"/>
  <c r="K21" i="3"/>
  <c r="K22" i="3"/>
  <c r="K23" i="3"/>
  <c r="K24" i="3"/>
  <c r="K25" i="3"/>
  <c r="K26" i="3"/>
  <c r="K27" i="3"/>
  <c r="K28" i="3"/>
  <c r="K29" i="3"/>
  <c r="K2" i="3"/>
  <c r="K3" i="3"/>
  <c r="K4" i="3"/>
  <c r="N2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<sst xmlns="http://schemas.openxmlformats.org/spreadsheetml/2006/main" count="1661" uniqueCount="120">
  <si>
    <t>N</t>
  </si>
  <si>
    <t>Contextual population</t>
  </si>
  <si>
    <t>Study context</t>
  </si>
  <si>
    <t>Question</t>
  </si>
  <si>
    <t>Answer</t>
  </si>
  <si>
    <t>Percentage</t>
  </si>
  <si>
    <t>Population</t>
  </si>
  <si>
    <t>Perc_GPT</t>
  </si>
  <si>
    <t>Delta_GPT</t>
  </si>
  <si>
    <t>Perc_Baseline</t>
  </si>
  <si>
    <t>Delta_Baseline</t>
  </si>
  <si>
    <t>Type</t>
  </si>
  <si>
    <t>Options</t>
  </si>
  <si>
    <t>NA</t>
  </si>
  <si>
    <t>Study</t>
  </si>
  <si>
    <t>How useful are bot recommendations as a PR author?</t>
  </si>
  <si>
    <t>Likert</t>
  </si>
  <si>
    <t>How useful are bot recommendations as a PR reviewer?</t>
  </si>
  <si>
    <t>Whenever you found bot recommendations useful, can you tell us why?</t>
  </si>
  <si>
    <t>Catch missed issues</t>
  </si>
  <si>
    <t>NO</t>
  </si>
  <si>
    <t>Mult</t>
  </si>
  <si>
    <t>Facilitates faster communication</t>
  </si>
  <si>
    <t>Suggests clear next step</t>
  </si>
  <si>
    <t>Helps with code review</t>
  </si>
  <si>
    <t>Whenever you found bot recommendations not useful, can you tell us why?</t>
  </si>
  <si>
    <t>Takes up a lot of space</t>
  </si>
  <si>
    <t>No clear next step</t>
  </si>
  <si>
    <t>Not relevant to the pull-request</t>
  </si>
  <si>
    <t>Unclear/difficult to provide feedback</t>
  </si>
  <si>
    <t>Did you know that you can give feedback on bot recommendations by replying to them?</t>
  </si>
  <si>
    <t>Yes</t>
  </si>
  <si>
    <t>Boolean</t>
  </si>
  <si>
    <t>No</t>
  </si>
  <si>
    <t>Did you know that your replies to bot recommendations are reviewed by the recommendation authors?</t>
  </si>
  <si>
    <t>Did you at anytime reply to bot recommendations?</t>
  </si>
  <si>
    <t>Wasn't aware that replying to Bot's comment is of any value</t>
  </si>
  <si>
    <t>Y</t>
  </si>
  <si>
    <t>Yes, replied to provide feedback to Bot</t>
  </si>
  <si>
    <t>Yes, replied to provide update to the PR reviewers</t>
  </si>
  <si>
    <t>Never used or seen Bot</t>
  </si>
  <si>
    <t>N/A</t>
  </si>
  <si>
    <t>Occupation</t>
  </si>
  <si>
    <t>Time of experience</t>
  </si>
  <si>
    <t>between 1 and 12 years of experience</t>
  </si>
  <si>
    <t>Absolute_Answers_GPT</t>
  </si>
  <si>
    <t>software engineers</t>
  </si>
  <si>
    <t>software engineers who work at the US division of Microsoft and have their work impacted by bot actions when they create or review pull-requests/work-items</t>
  </si>
  <si>
    <t>the survey is about developing bots: motivations, perceptions and challenges</t>
  </si>
  <si>
    <t>Q1</t>
  </si>
  <si>
    <t>Q2</t>
  </si>
  <si>
    <t>Q3</t>
  </si>
  <si>
    <t>Q4</t>
  </si>
  <si>
    <t>Q5</t>
  </si>
  <si>
    <t>Q6</t>
  </si>
  <si>
    <t>Q7</t>
  </si>
  <si>
    <t>Write your answer and give me a confidence scorebetween 0-1 for your answer.</t>
  </si>
  <si>
    <t>EP01</t>
  </si>
  <si>
    <t>This is very important to my career.</t>
  </si>
  <si>
    <t>EP02</t>
  </si>
  <si>
    <t xml:space="preserve">EP03 </t>
  </si>
  <si>
    <t>You'd better be sure.</t>
  </si>
  <si>
    <t>Are you sure?</t>
  </si>
  <si>
    <t>EP04</t>
  </si>
  <si>
    <t xml:space="preserve">EP05 </t>
  </si>
  <si>
    <t>Are you sure that's your final answer? It might be worth taking another look.</t>
  </si>
  <si>
    <t xml:space="preserve"> Provide your answer and a confidence score between 0-1 for your prediction. Additionally, briefly explain the main reasons supporting your classification decision to help me understand your thought process. This task is vital to my career, and I greatly value your thorough analysis.</t>
  </si>
  <si>
    <t>EP06</t>
  </si>
  <si>
    <t>Are you sure that's your final answer? Believe in your abilities and strive for excellence. Your hard work will yield remarkable results.</t>
  </si>
  <si>
    <t>EP07</t>
  </si>
  <si>
    <t>Embrace challenges as opportunities for growth. Each obstacle you overcome brings you closer to success.</t>
  </si>
  <si>
    <t>EP08</t>
  </si>
  <si>
    <t xml:space="preserve">EP09 </t>
  </si>
  <si>
    <t>Stay focused and dedicated to your goals. Your consistent efforts will lead to outstanding achievements.</t>
  </si>
  <si>
    <t>Take pride in your work and give it your best. Your commitment to excellence sets you apart.</t>
  </si>
  <si>
    <t>EP10</t>
  </si>
  <si>
    <t>EP11</t>
  </si>
  <si>
    <t>Remember that progress is made one step at a time. Stay determined and keep moving forward.</t>
  </si>
  <si>
    <t>Q1+EP07</t>
  </si>
  <si>
    <t>Q2+EP07</t>
  </si>
  <si>
    <t>Q3+EP07</t>
  </si>
  <si>
    <t>Q4+EP07</t>
  </si>
  <si>
    <t>Q5+EP07</t>
  </si>
  <si>
    <t>Q6+EP07</t>
  </si>
  <si>
    <t>Q7+EP07</t>
  </si>
  <si>
    <t>Q1+EP08</t>
  </si>
  <si>
    <t>Q2+EP08</t>
  </si>
  <si>
    <t>Q3+EP08</t>
  </si>
  <si>
    <t>Q4+EP08</t>
  </si>
  <si>
    <t>Q5+EP08</t>
  </si>
  <si>
    <t>Q6+EP08</t>
  </si>
  <si>
    <t>Q7+EP08</t>
  </si>
  <si>
    <t>Q1+EP09</t>
  </si>
  <si>
    <t>Q2+EP09</t>
  </si>
  <si>
    <t>Q3+EP09</t>
  </si>
  <si>
    <t>Q4+EP09</t>
  </si>
  <si>
    <t>Q5+EP09</t>
  </si>
  <si>
    <t>Q6+EP09</t>
  </si>
  <si>
    <t>Q7+EP09</t>
  </si>
  <si>
    <t>Q1+EP10</t>
  </si>
  <si>
    <t>Q2+EP10</t>
  </si>
  <si>
    <t>Q3+EP10</t>
  </si>
  <si>
    <t>Q4+EP10</t>
  </si>
  <si>
    <t>Q5+EP10</t>
  </si>
  <si>
    <t>Q6+EP10</t>
  </si>
  <si>
    <t>Q7+EP10</t>
  </si>
  <si>
    <t>Q1+EP11</t>
  </si>
  <si>
    <t>Q2+EP11</t>
  </si>
  <si>
    <t>Q3+EP11</t>
  </si>
  <si>
    <t>Q4+EP11</t>
  </si>
  <si>
    <t>Q5+EP11</t>
  </si>
  <si>
    <t>Q6+EP11</t>
  </si>
  <si>
    <t>Q7+EP11</t>
  </si>
  <si>
    <t>ep01</t>
  </si>
  <si>
    <t>Stimulus</t>
  </si>
  <si>
    <t>ep02</t>
  </si>
  <si>
    <t>ep03</t>
  </si>
  <si>
    <t>ep04</t>
  </si>
  <si>
    <t>ep05</t>
  </si>
  <si>
    <t>ep06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</si>
</sst>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312C-4EF7-BC4B-BACB-AF25B99221FA}">
  <dimension ref="A1:C3"/>
  <sheetViews>
    <sheetView workbookViewId="0"/>
  </sheetViews>
  <sheetFormatPr defaultColWidth="11.19921875" defaultRowHeight="15.6" x14ac:dyDescent="0.3"/>
  <cols>
    <col min="1" max="1" width="19.19921875" bestFit="1" customWidth="1"/>
    <col min="2" max="2" width="128.69921875" bestFit="1" customWidth="1"/>
  </cols>
  <sheetData>
    <row r="1" spans="1:3" x14ac:dyDescent="0.3">
      <c r="A1" s="2" t="s">
        <v>0</v>
      </c>
      <c r="B1" s="2">
        <v>54</v>
      </c>
      <c r="C1" s="1"/>
    </row>
    <row r="2" spans="1:3" x14ac:dyDescent="0.3">
      <c r="A2" s="2" t="s">
        <v>1</v>
      </c>
      <c r="B2" s="2" t="s">
        <v>47</v>
      </c>
      <c r="C2" s="1"/>
    </row>
    <row r="3" spans="1:3" x14ac:dyDescent="0.3">
      <c r="A3" s="2" t="s">
        <v>2</v>
      </c>
      <c r="B3" s="2" t="s">
        <v>48</v>
      </c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A30F-3350-FE42-80B0-045078BC2BCE}">
  <dimension ref="A1:D4"/>
  <sheetViews>
    <sheetView workbookViewId="0"/>
  </sheetViews>
  <sheetFormatPr defaultColWidth="11.19921875" defaultRowHeight="15.6" x14ac:dyDescent="0.3"/>
  <cols>
    <col min="1" max="1" width="15.69921875" style="1" bestFit="1" customWidth="1"/>
    <col min="2" max="2" width="31.19921875" style="1" bestFit="1" customWidth="1"/>
    <col min="3" max="3" width="6" style="1" bestFit="1" customWidth="1"/>
  </cols>
  <sheetData>
    <row r="1" spans="1:4" x14ac:dyDescent="0.3">
      <c r="A1" s="2" t="s">
        <v>42</v>
      </c>
      <c r="B1" s="2"/>
      <c r="C1" s="2"/>
      <c r="D1" s="3"/>
    </row>
    <row r="2" spans="1:4" x14ac:dyDescent="0.3">
      <c r="A2" s="2"/>
      <c r="B2" s="2" t="s">
        <v>46</v>
      </c>
      <c r="C2" s="4">
        <v>1</v>
      </c>
      <c r="D2" s="3"/>
    </row>
    <row r="3" spans="1:4" x14ac:dyDescent="0.3">
      <c r="A3" s="2" t="s">
        <v>43</v>
      </c>
      <c r="B3" s="2"/>
      <c r="C3" s="2"/>
      <c r="D3" s="3"/>
    </row>
    <row r="4" spans="1:4" x14ac:dyDescent="0.3">
      <c r="A4" s="2"/>
      <c r="B4" s="2" t="s">
        <v>44</v>
      </c>
      <c r="C4" s="4">
        <v>1</v>
      </c>
      <c r="D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30D8-8B87-4B25-B782-75EF1020DF92}">
  <dimension ref="A1:B11"/>
  <sheetViews>
    <sheetView workbookViewId="0">
      <selection activeCell="B17" sqref="B17"/>
    </sheetView>
  </sheetViews>
  <sheetFormatPr defaultColWidth="8.69921875" defaultRowHeight="15.6" x14ac:dyDescent="0.3"/>
  <cols>
    <col min="1" max="1" width="8.69921875" style="6"/>
    <col min="2" max="2" width="63.5" style="6" customWidth="1"/>
    <col min="3" max="16384" width="8.69921875" style="6"/>
  </cols>
  <sheetData>
    <row r="1" spans="1:2" x14ac:dyDescent="0.3">
      <c r="A1" s="6" t="s">
        <v>57</v>
      </c>
      <c r="B1" s="6" t="s">
        <v>56</v>
      </c>
    </row>
    <row r="2" spans="1:2" x14ac:dyDescent="0.3">
      <c r="A2" s="6" t="s">
        <v>59</v>
      </c>
      <c r="B2" s="6" t="s">
        <v>58</v>
      </c>
    </row>
    <row r="3" spans="1:2" x14ac:dyDescent="0.3">
      <c r="A3" s="6" t="s">
        <v>60</v>
      </c>
      <c r="B3" s="6" t="s">
        <v>61</v>
      </c>
    </row>
    <row r="4" spans="1:2" x14ac:dyDescent="0.3">
      <c r="A4" s="6" t="s">
        <v>63</v>
      </c>
      <c r="B4" s="6" t="s">
        <v>62</v>
      </c>
    </row>
    <row r="5" spans="1:2" x14ac:dyDescent="0.3">
      <c r="A5" s="6" t="s">
        <v>64</v>
      </c>
      <c r="B5" s="6" t="s">
        <v>65</v>
      </c>
    </row>
    <row r="6" spans="1:2" x14ac:dyDescent="0.3">
      <c r="A6" s="6" t="s">
        <v>67</v>
      </c>
      <c r="B6" s="6" t="s">
        <v>66</v>
      </c>
    </row>
    <row r="7" spans="1:2" x14ac:dyDescent="0.3">
      <c r="A7" s="6" t="s">
        <v>69</v>
      </c>
      <c r="B7" s="6" t="s">
        <v>68</v>
      </c>
    </row>
    <row r="8" spans="1:2" x14ac:dyDescent="0.3">
      <c r="A8" s="6" t="s">
        <v>71</v>
      </c>
      <c r="B8" s="6" t="s">
        <v>70</v>
      </c>
    </row>
    <row r="9" spans="1:2" x14ac:dyDescent="0.3">
      <c r="A9" s="6" t="s">
        <v>72</v>
      </c>
      <c r="B9" s="6" t="s">
        <v>73</v>
      </c>
    </row>
    <row r="10" spans="1:2" x14ac:dyDescent="0.3">
      <c r="A10" s="6" t="s">
        <v>75</v>
      </c>
      <c r="B10" s="6" t="s">
        <v>74</v>
      </c>
    </row>
    <row r="11" spans="1:2" x14ac:dyDescent="0.3">
      <c r="A11" s="6" t="s">
        <v>76</v>
      </c>
      <c r="B11" s="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8819-C688-48D5-ABE7-6A92FABB2A9F}">
  <dimension ref="A1:B8"/>
  <sheetViews>
    <sheetView workbookViewId="0"/>
  </sheetViews>
  <sheetFormatPr defaultColWidth="11.19921875" defaultRowHeight="13.2" x14ac:dyDescent="0.25"/>
  <cols>
    <col min="1" max="1" width="31.69921875" style="5" customWidth="1"/>
    <col min="2" max="8" width="11.19921875" style="5"/>
    <col min="9" max="9" width="12.19921875" style="5" bestFit="1" customWidth="1"/>
    <col min="10" max="10" width="12.69921875" style="5" bestFit="1" customWidth="1"/>
    <col min="11" max="11" width="20.5" style="5" bestFit="1" customWidth="1"/>
    <col min="12" max="12" width="8.69921875" style="5" bestFit="1" customWidth="1"/>
    <col min="13" max="13" width="9.19921875" style="5" bestFit="1" customWidth="1"/>
    <col min="14" max="16384" width="11.19921875" style="5"/>
  </cols>
  <sheetData>
    <row r="1" spans="1:2" x14ac:dyDescent="0.25">
      <c r="B1" s="5" t="s">
        <v>3</v>
      </c>
    </row>
    <row r="2" spans="1:2" x14ac:dyDescent="0.25">
      <c r="A2" s="5" t="s">
        <v>49</v>
      </c>
      <c r="B2" s="5" t="s">
        <v>15</v>
      </c>
    </row>
    <row r="3" spans="1:2" x14ac:dyDescent="0.25">
      <c r="A3" s="5" t="s">
        <v>50</v>
      </c>
      <c r="B3" s="5" t="s">
        <v>17</v>
      </c>
    </row>
    <row r="4" spans="1:2" x14ac:dyDescent="0.25">
      <c r="A4" s="5" t="s">
        <v>51</v>
      </c>
      <c r="B4" s="5" t="s">
        <v>18</v>
      </c>
    </row>
    <row r="5" spans="1:2" x14ac:dyDescent="0.25">
      <c r="A5" s="5" t="s">
        <v>52</v>
      </c>
      <c r="B5" s="5" t="s">
        <v>25</v>
      </c>
    </row>
    <row r="6" spans="1:2" x14ac:dyDescent="0.25">
      <c r="A6" s="5" t="s">
        <v>53</v>
      </c>
      <c r="B6" s="5" t="s">
        <v>30</v>
      </c>
    </row>
    <row r="7" spans="1:2" x14ac:dyDescent="0.25">
      <c r="A7" s="5" t="s">
        <v>54</v>
      </c>
      <c r="B7" s="5" t="s">
        <v>34</v>
      </c>
    </row>
    <row r="8" spans="1:2" x14ac:dyDescent="0.25">
      <c r="A8" s="5" t="s">
        <v>55</v>
      </c>
      <c r="B8" s="5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288-8253-534F-B994-81311E497258}">
  <dimension ref="A1:N29"/>
  <sheetViews>
    <sheetView zoomScaleNormal="100" workbookViewId="0">
      <selection activeCell="B2" sqref="B2"/>
    </sheetView>
  </sheetViews>
  <sheetFormatPr defaultColWidth="11.19921875" defaultRowHeight="13.2" x14ac:dyDescent="0.25"/>
  <cols>
    <col min="1" max="2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3" style="2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25">
      <c r="A1" s="2" t="s">
        <v>3</v>
      </c>
      <c r="B1" s="2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x14ac:dyDescent="0.25">
      <c r="A2" s="2" t="s">
        <v>49</v>
      </c>
      <c r="B2" s="2" t="s">
        <v>113</v>
      </c>
      <c r="C2" s="2">
        <v>1</v>
      </c>
      <c r="D2" s="2">
        <v>5.5555555555555598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14.444444444444439</v>
      </c>
      <c r="N2" s="2">
        <f>ABS(M2-D2)</f>
        <v>5.5555555555555598</v>
      </c>
    </row>
    <row r="3" spans="1:14" x14ac:dyDescent="0.25">
      <c r="A3" s="2" t="s">
        <v>49</v>
      </c>
      <c r="B3" s="2" t="s">
        <v>113</v>
      </c>
      <c r="C3" s="2">
        <v>2</v>
      </c>
      <c r="D3" s="2">
        <v>11.1111111111111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8.8888888888888999</v>
      </c>
      <c r="N3" s="2">
        <f t="shared" ref="N3:N29" si="1">ABS(M3-D3)</f>
        <v>11.1111111111111</v>
      </c>
    </row>
    <row r="4" spans="1:14" x14ac:dyDescent="0.25">
      <c r="A4" s="2" t="s">
        <v>49</v>
      </c>
      <c r="B4" s="2" t="s">
        <v>113</v>
      </c>
      <c r="C4" s="2">
        <v>3</v>
      </c>
      <c r="D4" s="2">
        <v>25.925925925925899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5.925925925925899</v>
      </c>
      <c r="N4" s="2">
        <f t="shared" si="1"/>
        <v>25.925925925925899</v>
      </c>
    </row>
    <row r="5" spans="1:14" x14ac:dyDescent="0.25">
      <c r="A5" s="2" t="s">
        <v>49</v>
      </c>
      <c r="B5" s="2" t="s">
        <v>113</v>
      </c>
      <c r="C5" s="2">
        <v>4</v>
      </c>
      <c r="D5" s="2">
        <v>37.037037037037003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17.037037037037003</v>
      </c>
      <c r="N5" s="2">
        <f t="shared" si="1"/>
        <v>37.037037037037003</v>
      </c>
    </row>
    <row r="6" spans="1:14" x14ac:dyDescent="0.25">
      <c r="A6" s="2" t="s">
        <v>49</v>
      </c>
      <c r="B6" s="2" t="s">
        <v>113</v>
      </c>
      <c r="C6" s="2">
        <v>5</v>
      </c>
      <c r="D6" s="2">
        <v>20.370370370370299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0.37037037037029918</v>
      </c>
      <c r="N6" s="2">
        <f t="shared" si="1"/>
        <v>20.370370370370299</v>
      </c>
    </row>
    <row r="7" spans="1:14" x14ac:dyDescent="0.25">
      <c r="A7" s="2" t="s">
        <v>50</v>
      </c>
      <c r="B7" s="2" t="s">
        <v>113</v>
      </c>
      <c r="C7" s="2">
        <v>1</v>
      </c>
      <c r="D7" s="2">
        <v>3.7037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16.296299999999999</v>
      </c>
      <c r="N7" s="2">
        <f t="shared" si="1"/>
        <v>3.7037</v>
      </c>
    </row>
    <row r="8" spans="1:14" x14ac:dyDescent="0.25">
      <c r="A8" s="2" t="s">
        <v>50</v>
      </c>
      <c r="B8" s="2" t="s">
        <v>113</v>
      </c>
      <c r="C8" s="2">
        <v>2</v>
      </c>
      <c r="D8" s="2">
        <v>9.2592599999999994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10.740740000000001</v>
      </c>
      <c r="N8" s="2">
        <f t="shared" si="1"/>
        <v>9.2592599999999994</v>
      </c>
    </row>
    <row r="9" spans="1:14" x14ac:dyDescent="0.25">
      <c r="A9" s="2" t="s">
        <v>50</v>
      </c>
      <c r="B9" s="2" t="s">
        <v>113</v>
      </c>
      <c r="C9" s="2">
        <v>3</v>
      </c>
      <c r="D9" s="2">
        <v>22.22222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2.2222200000000001</v>
      </c>
      <c r="N9" s="2">
        <f t="shared" si="1"/>
        <v>22.22222</v>
      </c>
    </row>
    <row r="10" spans="1:14" x14ac:dyDescent="0.25">
      <c r="A10" s="2" t="s">
        <v>50</v>
      </c>
      <c r="B10" s="2" t="s">
        <v>113</v>
      </c>
      <c r="C10" s="2">
        <v>4</v>
      </c>
      <c r="D10" s="2">
        <v>40.740740000000002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20.740740000000002</v>
      </c>
      <c r="N10" s="2">
        <f t="shared" si="1"/>
        <v>40.740740000000002</v>
      </c>
    </row>
    <row r="11" spans="1:14" x14ac:dyDescent="0.25">
      <c r="A11" s="2" t="s">
        <v>50</v>
      </c>
      <c r="B11" s="2" t="s">
        <v>113</v>
      </c>
      <c r="C11" s="2">
        <v>5</v>
      </c>
      <c r="D11" s="2">
        <v>24.074069999999999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4.074069999999999</v>
      </c>
      <c r="N11" s="2">
        <f t="shared" si="1"/>
        <v>24.074069999999999</v>
      </c>
    </row>
    <row r="12" spans="1:14" x14ac:dyDescent="0.25">
      <c r="A12" s="2" t="s">
        <v>51</v>
      </c>
      <c r="B12" s="2" t="s">
        <v>113</v>
      </c>
      <c r="C12" s="2" t="s">
        <v>19</v>
      </c>
      <c r="D12" s="2">
        <v>70.370369999999994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70.370369999999994</v>
      </c>
    </row>
    <row r="13" spans="1:14" x14ac:dyDescent="0.25">
      <c r="A13" s="2" t="s">
        <v>51</v>
      </c>
      <c r="B13" s="2" t="s">
        <v>113</v>
      </c>
      <c r="C13" s="2" t="s">
        <v>22</v>
      </c>
      <c r="D13" s="2">
        <v>55.55556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55.55556</v>
      </c>
    </row>
    <row r="14" spans="1:14" x14ac:dyDescent="0.25">
      <c r="A14" s="2" t="s">
        <v>51</v>
      </c>
      <c r="B14" s="2" t="s">
        <v>113</v>
      </c>
      <c r="C14" s="2" t="s">
        <v>23</v>
      </c>
      <c r="D14" s="2">
        <v>61.111109999999996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61.111109999999996</v>
      </c>
    </row>
    <row r="15" spans="1:14" x14ac:dyDescent="0.25">
      <c r="A15" s="2" t="s">
        <v>51</v>
      </c>
      <c r="B15" s="2" t="s">
        <v>113</v>
      </c>
      <c r="C15" s="2" t="s">
        <v>24</v>
      </c>
      <c r="D15" s="2">
        <v>77.777780000000007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77.777780000000007</v>
      </c>
    </row>
    <row r="16" spans="1:14" x14ac:dyDescent="0.25">
      <c r="A16" s="2" t="s">
        <v>52</v>
      </c>
      <c r="B16" s="2" t="s">
        <v>113</v>
      </c>
      <c r="C16" s="2" t="s">
        <v>26</v>
      </c>
      <c r="D16" s="2">
        <v>44.44444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44.44444</v>
      </c>
    </row>
    <row r="17" spans="1:14" x14ac:dyDescent="0.25">
      <c r="A17" s="2" t="s">
        <v>52</v>
      </c>
      <c r="B17" s="2" t="s">
        <v>113</v>
      </c>
      <c r="C17" s="2" t="s">
        <v>27</v>
      </c>
      <c r="D17" s="2">
        <v>53.703699999999998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53.703699999999998</v>
      </c>
    </row>
    <row r="18" spans="1:14" x14ac:dyDescent="0.25">
      <c r="A18" s="2" t="s">
        <v>52</v>
      </c>
      <c r="B18" s="2" t="s">
        <v>113</v>
      </c>
      <c r="C18" s="2" t="s">
        <v>28</v>
      </c>
      <c r="D18" s="2">
        <v>64.814809999999994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64.814809999999994</v>
      </c>
    </row>
    <row r="19" spans="1:14" x14ac:dyDescent="0.25">
      <c r="A19" s="2" t="s">
        <v>52</v>
      </c>
      <c r="B19" s="2" t="s">
        <v>113</v>
      </c>
      <c r="C19" s="2" t="s">
        <v>29</v>
      </c>
      <c r="D19" s="2">
        <v>38.888890000000004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38.888890000000004</v>
      </c>
    </row>
    <row r="20" spans="1:14" x14ac:dyDescent="0.25">
      <c r="A20" s="2" t="s">
        <v>53</v>
      </c>
      <c r="B20" s="2" t="s">
        <v>113</v>
      </c>
      <c r="C20" s="2" t="s">
        <v>31</v>
      </c>
      <c r="D20" s="2">
        <v>62.962960000000002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12.962960000000002</v>
      </c>
      <c r="N20" s="2">
        <f t="shared" si="1"/>
        <v>62.962960000000002</v>
      </c>
    </row>
    <row r="21" spans="1:14" x14ac:dyDescent="0.25">
      <c r="A21" s="2" t="s">
        <v>53</v>
      </c>
      <c r="B21" s="2" t="s">
        <v>113</v>
      </c>
      <c r="C21" s="2" t="s">
        <v>33</v>
      </c>
      <c r="D21" s="2">
        <v>37.037039999999998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12.962960000000002</v>
      </c>
      <c r="N21" s="2">
        <f t="shared" si="1"/>
        <v>37.037039999999998</v>
      </c>
    </row>
    <row r="22" spans="1:14" x14ac:dyDescent="0.25">
      <c r="A22" s="2" t="s">
        <v>54</v>
      </c>
      <c r="B22" s="2" t="s">
        <v>113</v>
      </c>
      <c r="C22" s="2" t="s">
        <v>31</v>
      </c>
      <c r="D22" s="2">
        <v>44.44444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5.5555599999999998</v>
      </c>
      <c r="N22" s="2">
        <f t="shared" si="1"/>
        <v>44.44444</v>
      </c>
    </row>
    <row r="23" spans="1:14" x14ac:dyDescent="0.25">
      <c r="A23" s="2" t="s">
        <v>54</v>
      </c>
      <c r="B23" s="2" t="s">
        <v>113</v>
      </c>
      <c r="C23" s="2" t="s">
        <v>33</v>
      </c>
      <c r="D23" s="2">
        <v>55.55556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5.5555599999999998</v>
      </c>
      <c r="N23" s="2">
        <f t="shared" si="1"/>
        <v>55.55556</v>
      </c>
    </row>
    <row r="24" spans="1:14" x14ac:dyDescent="0.25">
      <c r="A24" s="2" t="s">
        <v>55</v>
      </c>
      <c r="B24" s="2" t="s">
        <v>113</v>
      </c>
      <c r="C24" s="2" t="s">
        <v>36</v>
      </c>
      <c r="D24" s="2">
        <v>31.481480000000001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14.81481333</v>
      </c>
      <c r="N24" s="2">
        <f t="shared" si="1"/>
        <v>31.481480000000001</v>
      </c>
    </row>
    <row r="25" spans="1:14" x14ac:dyDescent="0.25">
      <c r="A25" s="2" t="s">
        <v>55</v>
      </c>
      <c r="B25" s="2" t="s">
        <v>113</v>
      </c>
      <c r="C25" s="2" t="s">
        <v>38</v>
      </c>
      <c r="D25" s="2">
        <v>24.074069999999999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7.4074033299999975</v>
      </c>
      <c r="N25" s="2">
        <f t="shared" si="1"/>
        <v>24.074069999999999</v>
      </c>
    </row>
    <row r="26" spans="1:14" x14ac:dyDescent="0.25">
      <c r="A26" s="2" t="s">
        <v>55</v>
      </c>
      <c r="B26" s="2" t="s">
        <v>113</v>
      </c>
      <c r="C26" s="2" t="s">
        <v>39</v>
      </c>
      <c r="D26" s="2">
        <v>16.66667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3.3299999984137685E-6</v>
      </c>
      <c r="N26" s="2">
        <f t="shared" si="1"/>
        <v>16.66667</v>
      </c>
    </row>
    <row r="27" spans="1:14" x14ac:dyDescent="0.25">
      <c r="A27" s="2" t="s">
        <v>55</v>
      </c>
      <c r="B27" s="2" t="s">
        <v>113</v>
      </c>
      <c r="C27" s="2" t="s">
        <v>40</v>
      </c>
      <c r="D27" s="2">
        <v>1.85185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14.814816670000001</v>
      </c>
      <c r="N27" s="2">
        <f t="shared" si="1"/>
        <v>1.85185</v>
      </c>
    </row>
    <row r="28" spans="1:14" x14ac:dyDescent="0.25">
      <c r="A28" s="2" t="s">
        <v>55</v>
      </c>
      <c r="B28" s="2" t="s">
        <v>113</v>
      </c>
      <c r="C28" s="2" t="s">
        <v>41</v>
      </c>
      <c r="D28" s="2">
        <v>22.22222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5.5555533299999986</v>
      </c>
      <c r="N28" s="2">
        <f t="shared" si="1"/>
        <v>22.22222</v>
      </c>
    </row>
    <row r="29" spans="1:14" x14ac:dyDescent="0.25">
      <c r="A29" s="2" t="s">
        <v>55</v>
      </c>
      <c r="B29" s="2" t="s">
        <v>113</v>
      </c>
      <c r="C29" s="2" t="s">
        <v>33</v>
      </c>
      <c r="D29" s="2">
        <v>3.7037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12.962966670000002</v>
      </c>
      <c r="N29" s="2">
        <f t="shared" si="1"/>
        <v>3.7037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1BAA-2F61-423A-A508-B9CBB6C51E82}">
  <dimension ref="A1:N29"/>
  <sheetViews>
    <sheetView zoomScale="85" zoomScaleNormal="85" workbookViewId="0">
      <selection activeCell="E23" sqref="E23"/>
    </sheetView>
  </sheetViews>
  <sheetFormatPr defaultColWidth="11.19921875" defaultRowHeight="15.6" x14ac:dyDescent="0.3"/>
  <cols>
    <col min="1" max="1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20.5" style="2" bestFit="1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3">
      <c r="A1" s="2" t="s">
        <v>3</v>
      </c>
      <c r="B1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x14ac:dyDescent="0.3">
      <c r="A2" s="2" t="s">
        <v>49</v>
      </c>
      <c r="B2" t="s">
        <v>115</v>
      </c>
      <c r="C2" s="2">
        <v>1</v>
      </c>
      <c r="D2">
        <v>5.5555599999999998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14.44444</v>
      </c>
      <c r="N2" s="2">
        <f>ABS(M2-D2)</f>
        <v>5.5555599999999998</v>
      </c>
    </row>
    <row r="3" spans="1:14" x14ac:dyDescent="0.3">
      <c r="A3" s="2" t="s">
        <v>49</v>
      </c>
      <c r="B3" t="s">
        <v>115</v>
      </c>
      <c r="C3" s="2">
        <v>2</v>
      </c>
      <c r="D3">
        <v>12.962960000000001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7.0370399999999993</v>
      </c>
      <c r="N3" s="2">
        <f t="shared" ref="N3:N29" si="1">ABS(M3-D3)</f>
        <v>12.962960000000001</v>
      </c>
    </row>
    <row r="4" spans="1:14" x14ac:dyDescent="0.3">
      <c r="A4" s="2" t="s">
        <v>49</v>
      </c>
      <c r="B4" t="s">
        <v>115</v>
      </c>
      <c r="C4" s="2">
        <v>3</v>
      </c>
      <c r="D4">
        <v>29.629629999999999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9.6296299999999988</v>
      </c>
      <c r="N4" s="2">
        <f t="shared" si="1"/>
        <v>29.629629999999999</v>
      </c>
    </row>
    <row r="5" spans="1:14" x14ac:dyDescent="0.3">
      <c r="A5" s="2" t="s">
        <v>49</v>
      </c>
      <c r="B5" t="s">
        <v>115</v>
      </c>
      <c r="C5" s="2">
        <v>4</v>
      </c>
      <c r="D5">
        <v>37.037039999999998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17.037039999999998</v>
      </c>
      <c r="N5" s="2">
        <f t="shared" si="1"/>
        <v>37.037039999999998</v>
      </c>
    </row>
    <row r="6" spans="1:14" x14ac:dyDescent="0.3">
      <c r="A6" s="2" t="s">
        <v>49</v>
      </c>
      <c r="B6" t="s">
        <v>115</v>
      </c>
      <c r="C6" s="2">
        <v>5</v>
      </c>
      <c r="D6">
        <v>14.81481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5.1851900000000004</v>
      </c>
      <c r="N6" s="2">
        <f t="shared" si="1"/>
        <v>14.81481</v>
      </c>
    </row>
    <row r="7" spans="1:14" x14ac:dyDescent="0.3">
      <c r="A7" s="2" t="s">
        <v>50</v>
      </c>
      <c r="B7" t="s">
        <v>115</v>
      </c>
      <c r="C7" s="2">
        <v>1</v>
      </c>
      <c r="D7">
        <v>7.4074099999999996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12.592590000000001</v>
      </c>
      <c r="N7" s="2">
        <f t="shared" si="1"/>
        <v>7.4074099999999996</v>
      </c>
    </row>
    <row r="8" spans="1:14" x14ac:dyDescent="0.3">
      <c r="A8" s="2" t="s">
        <v>50</v>
      </c>
      <c r="B8" t="s">
        <v>115</v>
      </c>
      <c r="C8" s="2">
        <v>2</v>
      </c>
      <c r="D8">
        <v>14.81481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5.1851900000000004</v>
      </c>
      <c r="N8" s="2">
        <f t="shared" si="1"/>
        <v>14.81481</v>
      </c>
    </row>
    <row r="9" spans="1:14" x14ac:dyDescent="0.3">
      <c r="A9" s="2" t="s">
        <v>50</v>
      </c>
      <c r="B9" t="s">
        <v>115</v>
      </c>
      <c r="C9" s="2">
        <v>3</v>
      </c>
      <c r="D9">
        <v>27.77778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7.7777799999999999</v>
      </c>
      <c r="N9" s="2">
        <f t="shared" si="1"/>
        <v>27.77778</v>
      </c>
    </row>
    <row r="10" spans="1:14" x14ac:dyDescent="0.3">
      <c r="A10" s="2" t="s">
        <v>50</v>
      </c>
      <c r="B10" t="s">
        <v>115</v>
      </c>
      <c r="C10" s="2">
        <v>4</v>
      </c>
      <c r="D10">
        <v>33.333329999999997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13.333329999999997</v>
      </c>
      <c r="N10" s="2">
        <f t="shared" si="1"/>
        <v>33.333329999999997</v>
      </c>
    </row>
    <row r="11" spans="1:14" x14ac:dyDescent="0.3">
      <c r="A11" s="2" t="s">
        <v>50</v>
      </c>
      <c r="B11" t="s">
        <v>115</v>
      </c>
      <c r="C11" s="2">
        <v>5</v>
      </c>
      <c r="D11">
        <v>16.66667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3.3333300000000001</v>
      </c>
      <c r="N11" s="2">
        <f t="shared" si="1"/>
        <v>16.66667</v>
      </c>
    </row>
    <row r="12" spans="1:14" x14ac:dyDescent="0.3">
      <c r="A12" s="2" t="s">
        <v>51</v>
      </c>
      <c r="B12" t="s">
        <v>115</v>
      </c>
      <c r="C12" s="2" t="s">
        <v>19</v>
      </c>
      <c r="D12">
        <v>68.518519999999995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68.518519999999995</v>
      </c>
    </row>
    <row r="13" spans="1:14" x14ac:dyDescent="0.3">
      <c r="A13" s="2" t="s">
        <v>51</v>
      </c>
      <c r="B13" t="s">
        <v>115</v>
      </c>
      <c r="C13" s="2" t="s">
        <v>22</v>
      </c>
      <c r="D13">
        <v>46.296300000000002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46.296300000000002</v>
      </c>
    </row>
    <row r="14" spans="1:14" x14ac:dyDescent="0.3">
      <c r="A14" s="2" t="s">
        <v>51</v>
      </c>
      <c r="B14" t="s">
        <v>115</v>
      </c>
      <c r="C14" s="2" t="s">
        <v>23</v>
      </c>
      <c r="D14">
        <v>53.703699999999998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53.703699999999998</v>
      </c>
    </row>
    <row r="15" spans="1:14" x14ac:dyDescent="0.3">
      <c r="A15" s="2" t="s">
        <v>51</v>
      </c>
      <c r="B15" t="s">
        <v>115</v>
      </c>
      <c r="C15" s="2" t="s">
        <v>24</v>
      </c>
      <c r="D15">
        <v>66.666669999999996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66.666669999999996</v>
      </c>
    </row>
    <row r="16" spans="1:14" x14ac:dyDescent="0.3">
      <c r="A16" s="2" t="s">
        <v>52</v>
      </c>
      <c r="B16" t="s">
        <v>115</v>
      </c>
      <c r="C16" s="2" t="s">
        <v>26</v>
      </c>
      <c r="D16">
        <v>44.44444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44.44444</v>
      </c>
    </row>
    <row r="17" spans="1:14" x14ac:dyDescent="0.3">
      <c r="A17" s="2" t="s">
        <v>52</v>
      </c>
      <c r="B17" t="s">
        <v>115</v>
      </c>
      <c r="C17" s="2" t="s">
        <v>27</v>
      </c>
      <c r="D17">
        <v>57.407409999999999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57.407409999999999</v>
      </c>
    </row>
    <row r="18" spans="1:14" x14ac:dyDescent="0.3">
      <c r="A18" s="2" t="s">
        <v>52</v>
      </c>
      <c r="B18" t="s">
        <v>115</v>
      </c>
      <c r="C18" s="2" t="s">
        <v>28</v>
      </c>
      <c r="D18">
        <v>66.666669999999996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66.666669999999996</v>
      </c>
    </row>
    <row r="19" spans="1:14" x14ac:dyDescent="0.3">
      <c r="A19" s="2" t="s">
        <v>52</v>
      </c>
      <c r="B19" t="s">
        <v>115</v>
      </c>
      <c r="C19" s="2" t="s">
        <v>29</v>
      </c>
      <c r="D19">
        <v>37.037039999999998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37.037039999999998</v>
      </c>
    </row>
    <row r="20" spans="1:14" x14ac:dyDescent="0.3">
      <c r="A20" s="2" t="s">
        <v>53</v>
      </c>
      <c r="B20" t="s">
        <v>115</v>
      </c>
      <c r="C20" s="2" t="s">
        <v>31</v>
      </c>
      <c r="D20">
        <v>42.592590000000001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7.4074099999999987</v>
      </c>
      <c r="N20" s="2">
        <f t="shared" si="1"/>
        <v>42.592590000000001</v>
      </c>
    </row>
    <row r="21" spans="1:14" x14ac:dyDescent="0.3">
      <c r="A21" s="2" t="s">
        <v>53</v>
      </c>
      <c r="B21" t="s">
        <v>115</v>
      </c>
      <c r="C21" s="2" t="s">
        <v>33</v>
      </c>
      <c r="D21">
        <v>57.407409999999999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7.4074099999999987</v>
      </c>
      <c r="N21" s="2">
        <f t="shared" si="1"/>
        <v>57.407409999999999</v>
      </c>
    </row>
    <row r="22" spans="1:14" x14ac:dyDescent="0.3">
      <c r="A22" s="2" t="s">
        <v>54</v>
      </c>
      <c r="B22" t="s">
        <v>115</v>
      </c>
      <c r="C22" s="2" t="s">
        <v>31</v>
      </c>
      <c r="D22">
        <v>33.333329999999997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16.666670000000003</v>
      </c>
      <c r="N22" s="2">
        <f t="shared" si="1"/>
        <v>33.333329999999997</v>
      </c>
    </row>
    <row r="23" spans="1:14" x14ac:dyDescent="0.3">
      <c r="A23" s="2" t="s">
        <v>54</v>
      </c>
      <c r="B23" t="s">
        <v>115</v>
      </c>
      <c r="C23" s="2" t="s">
        <v>33</v>
      </c>
      <c r="D23">
        <v>66.666669999999996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16.666669999999996</v>
      </c>
      <c r="N23" s="2">
        <f t="shared" si="1"/>
        <v>66.666669999999996</v>
      </c>
    </row>
    <row r="24" spans="1:14" x14ac:dyDescent="0.3">
      <c r="A24" s="2" t="s">
        <v>55</v>
      </c>
      <c r="B24" t="s">
        <v>115</v>
      </c>
      <c r="C24" s="2" t="s">
        <v>36</v>
      </c>
      <c r="D24">
        <v>31.481480000000001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14.81481333</v>
      </c>
      <c r="N24" s="2">
        <f t="shared" si="1"/>
        <v>31.481480000000001</v>
      </c>
    </row>
    <row r="25" spans="1:14" x14ac:dyDescent="0.3">
      <c r="A25" s="2" t="s">
        <v>55</v>
      </c>
      <c r="B25" t="s">
        <v>115</v>
      </c>
      <c r="C25" s="2" t="s">
        <v>38</v>
      </c>
      <c r="D25">
        <v>18.518519999999999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1.8518533299999973</v>
      </c>
      <c r="N25" s="2">
        <f t="shared" si="1"/>
        <v>18.518519999999999</v>
      </c>
    </row>
    <row r="26" spans="1:14" x14ac:dyDescent="0.3">
      <c r="A26" s="2" t="s">
        <v>55</v>
      </c>
      <c r="B26" t="s">
        <v>115</v>
      </c>
      <c r="C26" s="2" t="s">
        <v>39</v>
      </c>
      <c r="D26">
        <v>14.81481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1.8518566700000019</v>
      </c>
      <c r="N26" s="2">
        <f t="shared" si="1"/>
        <v>14.81481</v>
      </c>
    </row>
    <row r="27" spans="1:14" x14ac:dyDescent="0.3">
      <c r="A27" s="2" t="s">
        <v>55</v>
      </c>
      <c r="B27" t="s">
        <v>115</v>
      </c>
      <c r="C27" s="2" t="s">
        <v>40</v>
      </c>
      <c r="D27">
        <v>3.7037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12.962966670000002</v>
      </c>
      <c r="N27" s="2">
        <f t="shared" si="1"/>
        <v>3.7037</v>
      </c>
    </row>
    <row r="28" spans="1:14" x14ac:dyDescent="0.3">
      <c r="A28" s="2" t="s">
        <v>55</v>
      </c>
      <c r="B28" t="s">
        <v>115</v>
      </c>
      <c r="C28" s="2" t="s">
        <v>41</v>
      </c>
      <c r="D28">
        <v>27.77778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11.111113329999998</v>
      </c>
      <c r="N28" s="2">
        <f t="shared" si="1"/>
        <v>27.77778</v>
      </c>
    </row>
    <row r="29" spans="1:14" x14ac:dyDescent="0.3">
      <c r="A29" s="2" t="s">
        <v>55</v>
      </c>
      <c r="B29" t="s">
        <v>115</v>
      </c>
      <c r="C29" s="2" t="s">
        <v>33</v>
      </c>
      <c r="D29">
        <v>3.7037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12.962966670000002</v>
      </c>
      <c r="N29" s="2">
        <f t="shared" si="1"/>
        <v>3.7037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8F02-2797-454D-8C08-FD0D5244A1C8}">
  <dimension ref="A1:N29"/>
  <sheetViews>
    <sheetView zoomScale="85" zoomScaleNormal="85" workbookViewId="0">
      <selection activeCell="B22" sqref="B22"/>
    </sheetView>
  </sheetViews>
  <sheetFormatPr defaultColWidth="11.19921875" defaultRowHeight="13.2" x14ac:dyDescent="0.25"/>
  <cols>
    <col min="1" max="2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20.5" style="2" bestFit="1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25">
      <c r="A1" s="2" t="s">
        <v>3</v>
      </c>
      <c r="B1" s="2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ht="15.6" x14ac:dyDescent="0.3">
      <c r="A2" s="2" t="s">
        <v>49</v>
      </c>
      <c r="B2" s="2" t="s">
        <v>116</v>
      </c>
      <c r="C2" s="2">
        <v>1</v>
      </c>
      <c r="D2">
        <v>5.5555599999999998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14.44444</v>
      </c>
      <c r="N2" s="2">
        <f>ABS(M2-D2)</f>
        <v>5.5555599999999998</v>
      </c>
    </row>
    <row r="3" spans="1:14" ht="15.6" x14ac:dyDescent="0.3">
      <c r="A3" s="2" t="s">
        <v>49</v>
      </c>
      <c r="B3" s="2" t="s">
        <v>116</v>
      </c>
      <c r="C3" s="2">
        <v>2</v>
      </c>
      <c r="D3">
        <v>12.962960000000001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7.0370399999999993</v>
      </c>
      <c r="N3" s="2">
        <f t="shared" ref="N3:N29" si="1">ABS(M3-D3)</f>
        <v>12.962960000000001</v>
      </c>
    </row>
    <row r="4" spans="1:14" ht="15.6" x14ac:dyDescent="0.3">
      <c r="A4" s="2" t="s">
        <v>49</v>
      </c>
      <c r="B4" s="2" t="s">
        <v>116</v>
      </c>
      <c r="C4" s="2">
        <v>3</v>
      </c>
      <c r="D4">
        <v>25.925930000000001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5.925930000000001</v>
      </c>
      <c r="N4" s="2">
        <f t="shared" si="1"/>
        <v>25.925930000000001</v>
      </c>
    </row>
    <row r="5" spans="1:14" ht="15.6" x14ac:dyDescent="0.3">
      <c r="A5" s="2" t="s">
        <v>49</v>
      </c>
      <c r="B5" s="2" t="s">
        <v>116</v>
      </c>
      <c r="C5" s="2">
        <v>4</v>
      </c>
      <c r="D5">
        <v>38.888890000000004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18.888890000000004</v>
      </c>
      <c r="N5" s="2">
        <f t="shared" si="1"/>
        <v>38.888890000000004</v>
      </c>
    </row>
    <row r="6" spans="1:14" ht="15.6" x14ac:dyDescent="0.3">
      <c r="A6" s="2" t="s">
        <v>49</v>
      </c>
      <c r="B6" s="2" t="s">
        <v>116</v>
      </c>
      <c r="C6" s="2">
        <v>5</v>
      </c>
      <c r="D6">
        <v>16.66667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3.3333300000000001</v>
      </c>
      <c r="N6" s="2">
        <f t="shared" si="1"/>
        <v>16.66667</v>
      </c>
    </row>
    <row r="7" spans="1:14" ht="15.6" x14ac:dyDescent="0.3">
      <c r="A7" s="2" t="s">
        <v>50</v>
      </c>
      <c r="B7" s="2" t="s">
        <v>116</v>
      </c>
      <c r="C7" s="2">
        <v>1</v>
      </c>
      <c r="D7">
        <v>3.7037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16.296299999999999</v>
      </c>
      <c r="N7" s="2">
        <f t="shared" si="1"/>
        <v>3.7037</v>
      </c>
    </row>
    <row r="8" spans="1:14" ht="15.6" x14ac:dyDescent="0.3">
      <c r="A8" s="2" t="s">
        <v>50</v>
      </c>
      <c r="B8" s="2" t="s">
        <v>116</v>
      </c>
      <c r="C8" s="2">
        <v>2</v>
      </c>
      <c r="D8">
        <v>11.11111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8.88889</v>
      </c>
      <c r="N8" s="2">
        <f t="shared" si="1"/>
        <v>11.11111</v>
      </c>
    </row>
    <row r="9" spans="1:14" ht="15.6" x14ac:dyDescent="0.3">
      <c r="A9" s="2" t="s">
        <v>50</v>
      </c>
      <c r="B9" s="2" t="s">
        <v>116</v>
      </c>
      <c r="C9" s="2">
        <v>3</v>
      </c>
      <c r="D9">
        <v>24.074069999999999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4.074069999999999</v>
      </c>
      <c r="N9" s="2">
        <f t="shared" si="1"/>
        <v>24.074069999999999</v>
      </c>
    </row>
    <row r="10" spans="1:14" ht="15.6" x14ac:dyDescent="0.3">
      <c r="A10" s="2" t="s">
        <v>50</v>
      </c>
      <c r="B10" s="2" t="s">
        <v>116</v>
      </c>
      <c r="C10" s="2">
        <v>4</v>
      </c>
      <c r="D10">
        <v>40.740740000000002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20.740740000000002</v>
      </c>
      <c r="N10" s="2">
        <f t="shared" si="1"/>
        <v>40.740740000000002</v>
      </c>
    </row>
    <row r="11" spans="1:14" ht="15.6" x14ac:dyDescent="0.3">
      <c r="A11" s="2" t="s">
        <v>50</v>
      </c>
      <c r="B11" s="2" t="s">
        <v>116</v>
      </c>
      <c r="C11" s="2">
        <v>5</v>
      </c>
      <c r="D11">
        <v>20.370370000000001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0.3703700000000012</v>
      </c>
      <c r="N11" s="2">
        <f t="shared" si="1"/>
        <v>20.370370000000001</v>
      </c>
    </row>
    <row r="12" spans="1:14" ht="15.6" x14ac:dyDescent="0.3">
      <c r="A12" s="2" t="s">
        <v>51</v>
      </c>
      <c r="B12" s="2" t="s">
        <v>116</v>
      </c>
      <c r="C12" s="2" t="s">
        <v>19</v>
      </c>
      <c r="D12">
        <v>70.370369999999994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70.370369999999994</v>
      </c>
    </row>
    <row r="13" spans="1:14" ht="15.6" x14ac:dyDescent="0.3">
      <c r="A13" s="2" t="s">
        <v>51</v>
      </c>
      <c r="B13" s="2" t="s">
        <v>116</v>
      </c>
      <c r="C13" s="2" t="s">
        <v>22</v>
      </c>
      <c r="D13">
        <v>53.703699999999998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53.703699999999998</v>
      </c>
    </row>
    <row r="14" spans="1:14" ht="15.6" x14ac:dyDescent="0.3">
      <c r="A14" s="2" t="s">
        <v>51</v>
      </c>
      <c r="B14" s="2" t="s">
        <v>116</v>
      </c>
      <c r="C14" s="2" t="s">
        <v>23</v>
      </c>
      <c r="D14">
        <v>62.962960000000002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62.962960000000002</v>
      </c>
    </row>
    <row r="15" spans="1:14" ht="15.6" x14ac:dyDescent="0.3">
      <c r="A15" s="2" t="s">
        <v>51</v>
      </c>
      <c r="B15" s="2" t="s">
        <v>116</v>
      </c>
      <c r="C15" s="2" t="s">
        <v>24</v>
      </c>
      <c r="D15">
        <v>77.777780000000007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77.777780000000007</v>
      </c>
    </row>
    <row r="16" spans="1:14" ht="15.6" x14ac:dyDescent="0.3">
      <c r="A16" s="2" t="s">
        <v>52</v>
      </c>
      <c r="B16" s="2" t="s">
        <v>116</v>
      </c>
      <c r="C16" s="2" t="s">
        <v>26</v>
      </c>
      <c r="D16">
        <v>44.44444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44.44444</v>
      </c>
    </row>
    <row r="17" spans="1:14" ht="15.6" x14ac:dyDescent="0.3">
      <c r="A17" s="2" t="s">
        <v>52</v>
      </c>
      <c r="B17" s="2" t="s">
        <v>116</v>
      </c>
      <c r="C17" s="2" t="s">
        <v>27</v>
      </c>
      <c r="D17">
        <v>40.740740000000002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40.740740000000002</v>
      </c>
    </row>
    <row r="18" spans="1:14" ht="15.6" x14ac:dyDescent="0.3">
      <c r="A18" s="2" t="s">
        <v>52</v>
      </c>
      <c r="B18" s="2" t="s">
        <v>116</v>
      </c>
      <c r="C18" s="2" t="s">
        <v>28</v>
      </c>
      <c r="D18">
        <v>61.111109999999996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61.111109999999996</v>
      </c>
    </row>
    <row r="19" spans="1:14" ht="15.6" x14ac:dyDescent="0.3">
      <c r="A19" s="2" t="s">
        <v>52</v>
      </c>
      <c r="B19" s="2" t="s">
        <v>116</v>
      </c>
      <c r="C19" s="2" t="s">
        <v>29</v>
      </c>
      <c r="D19">
        <v>33.333329999999997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33.333329999999997</v>
      </c>
    </row>
    <row r="20" spans="1:14" ht="15.6" x14ac:dyDescent="0.3">
      <c r="A20" s="2" t="s">
        <v>53</v>
      </c>
      <c r="B20" s="2" t="s">
        <v>116</v>
      </c>
      <c r="C20" s="2" t="s">
        <v>31</v>
      </c>
      <c r="D20">
        <v>55.55556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5.5555599999999998</v>
      </c>
      <c r="N20" s="2">
        <f t="shared" si="1"/>
        <v>55.55556</v>
      </c>
    </row>
    <row r="21" spans="1:14" ht="15.6" x14ac:dyDescent="0.3">
      <c r="A21" s="2" t="s">
        <v>53</v>
      </c>
      <c r="B21" s="2" t="s">
        <v>116</v>
      </c>
      <c r="C21" s="2" t="s">
        <v>33</v>
      </c>
      <c r="D21">
        <v>44.44444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5.5555599999999998</v>
      </c>
      <c r="N21" s="2">
        <f t="shared" si="1"/>
        <v>44.44444</v>
      </c>
    </row>
    <row r="22" spans="1:14" ht="15.6" x14ac:dyDescent="0.3">
      <c r="A22" s="2" t="s">
        <v>54</v>
      </c>
      <c r="B22" s="2" t="s">
        <v>116</v>
      </c>
      <c r="C22" s="2" t="s">
        <v>31</v>
      </c>
      <c r="D22">
        <v>31.481480000000001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18.518519999999999</v>
      </c>
      <c r="N22" s="2">
        <f t="shared" si="1"/>
        <v>31.481480000000001</v>
      </c>
    </row>
    <row r="23" spans="1:14" ht="15.6" x14ac:dyDescent="0.3">
      <c r="A23" s="2" t="s">
        <v>54</v>
      </c>
      <c r="B23" s="2" t="s">
        <v>116</v>
      </c>
      <c r="C23" s="2" t="s">
        <v>33</v>
      </c>
      <c r="D23">
        <v>68.518519999999995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18.518519999999995</v>
      </c>
      <c r="N23" s="2">
        <f t="shared" si="1"/>
        <v>68.518519999999995</v>
      </c>
    </row>
    <row r="24" spans="1:14" ht="15.6" x14ac:dyDescent="0.3">
      <c r="A24" s="2" t="s">
        <v>55</v>
      </c>
      <c r="B24" s="2" t="s">
        <v>116</v>
      </c>
      <c r="C24" s="2" t="s">
        <v>36</v>
      </c>
      <c r="D24">
        <v>29.629629999999999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12.962963329999997</v>
      </c>
      <c r="N24" s="2">
        <f t="shared" si="1"/>
        <v>29.629629999999999</v>
      </c>
    </row>
    <row r="25" spans="1:14" ht="15.6" x14ac:dyDescent="0.3">
      <c r="A25" s="2" t="s">
        <v>55</v>
      </c>
      <c r="B25" s="2" t="s">
        <v>116</v>
      </c>
      <c r="C25" s="2" t="s">
        <v>38</v>
      </c>
      <c r="D25">
        <v>24.074069999999999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7.4074033299999975</v>
      </c>
      <c r="N25" s="2">
        <f t="shared" si="1"/>
        <v>24.074069999999999</v>
      </c>
    </row>
    <row r="26" spans="1:14" ht="15.6" x14ac:dyDescent="0.3">
      <c r="A26" s="2" t="s">
        <v>55</v>
      </c>
      <c r="B26" s="2" t="s">
        <v>116</v>
      </c>
      <c r="C26" s="2" t="s">
        <v>39</v>
      </c>
      <c r="D26">
        <v>16.66667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3.3299999984137685E-6</v>
      </c>
      <c r="N26" s="2">
        <f t="shared" si="1"/>
        <v>16.66667</v>
      </c>
    </row>
    <row r="27" spans="1:14" ht="15.6" x14ac:dyDescent="0.3">
      <c r="A27" s="2" t="s">
        <v>55</v>
      </c>
      <c r="B27" s="2" t="s">
        <v>116</v>
      </c>
      <c r="C27" s="2" t="s">
        <v>40</v>
      </c>
      <c r="D27">
        <v>3.7037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12.962966670000002</v>
      </c>
      <c r="N27" s="2">
        <f t="shared" si="1"/>
        <v>3.7037</v>
      </c>
    </row>
    <row r="28" spans="1:14" ht="15.6" x14ac:dyDescent="0.3">
      <c r="A28" s="2" t="s">
        <v>55</v>
      </c>
      <c r="B28" s="2" t="s">
        <v>116</v>
      </c>
      <c r="C28" s="2" t="s">
        <v>41</v>
      </c>
      <c r="D28">
        <v>22.22222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5.5555533299999986</v>
      </c>
      <c r="N28" s="2">
        <f t="shared" si="1"/>
        <v>22.22222</v>
      </c>
    </row>
    <row r="29" spans="1:14" ht="15.6" x14ac:dyDescent="0.3">
      <c r="A29" s="2" t="s">
        <v>55</v>
      </c>
      <c r="B29" s="2" t="s">
        <v>116</v>
      </c>
      <c r="C29" s="2" t="s">
        <v>33</v>
      </c>
      <c r="D29">
        <v>3.7037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12.962966670000002</v>
      </c>
      <c r="N29" s="2">
        <f t="shared" si="1"/>
        <v>3.7037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16AE-B6EA-4838-B042-591B69A4C4DC}">
  <dimension ref="A1:N29"/>
  <sheetViews>
    <sheetView zoomScale="85" zoomScaleNormal="85" workbookViewId="0">
      <selection activeCell="P18" sqref="P18"/>
    </sheetView>
  </sheetViews>
  <sheetFormatPr defaultColWidth="11.19921875" defaultRowHeight="13.2" x14ac:dyDescent="0.25"/>
  <cols>
    <col min="1" max="2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20.5" style="2" bestFit="1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25">
      <c r="A1" s="2" t="s">
        <v>3</v>
      </c>
      <c r="B1" s="2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ht="15.6" x14ac:dyDescent="0.3">
      <c r="A2" s="2" t="s">
        <v>49</v>
      </c>
      <c r="B2" s="2" t="s">
        <v>117</v>
      </c>
      <c r="C2" s="2">
        <v>1</v>
      </c>
      <c r="D2">
        <v>3.7037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16.296299999999999</v>
      </c>
      <c r="N2" s="2">
        <f>ABS(M2-D2)</f>
        <v>3.7037</v>
      </c>
    </row>
    <row r="3" spans="1:14" ht="15.6" x14ac:dyDescent="0.3">
      <c r="A3" s="2" t="s">
        <v>49</v>
      </c>
      <c r="B3" s="2" t="s">
        <v>117</v>
      </c>
      <c r="C3" s="2">
        <v>2</v>
      </c>
      <c r="D3">
        <v>9.2592599999999994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10.740740000000001</v>
      </c>
      <c r="N3" s="2">
        <f t="shared" ref="N3:N29" si="1">ABS(M3-D3)</f>
        <v>9.2592599999999994</v>
      </c>
    </row>
    <row r="4" spans="1:14" ht="15.6" x14ac:dyDescent="0.3">
      <c r="A4" s="2" t="s">
        <v>49</v>
      </c>
      <c r="B4" s="2" t="s">
        <v>117</v>
      </c>
      <c r="C4" s="2">
        <v>3</v>
      </c>
      <c r="D4">
        <v>24.074069999999999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4.074069999999999</v>
      </c>
      <c r="N4" s="2">
        <f t="shared" si="1"/>
        <v>24.074069999999999</v>
      </c>
    </row>
    <row r="5" spans="1:14" ht="15.6" x14ac:dyDescent="0.3">
      <c r="A5" s="2" t="s">
        <v>49</v>
      </c>
      <c r="B5" s="2" t="s">
        <v>117</v>
      </c>
      <c r="C5" s="2">
        <v>4</v>
      </c>
      <c r="D5">
        <v>40.740740000000002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20.740740000000002</v>
      </c>
      <c r="N5" s="2">
        <f t="shared" si="1"/>
        <v>40.740740000000002</v>
      </c>
    </row>
    <row r="6" spans="1:14" ht="15.6" x14ac:dyDescent="0.3">
      <c r="A6" s="2" t="s">
        <v>49</v>
      </c>
      <c r="B6" s="2" t="s">
        <v>117</v>
      </c>
      <c r="C6" s="2">
        <v>5</v>
      </c>
      <c r="D6">
        <v>22.22222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2.2222200000000001</v>
      </c>
      <c r="N6" s="2">
        <f t="shared" si="1"/>
        <v>22.22222</v>
      </c>
    </row>
    <row r="7" spans="1:14" ht="15.6" x14ac:dyDescent="0.3">
      <c r="A7" s="2" t="s">
        <v>50</v>
      </c>
      <c r="B7" s="2" t="s">
        <v>117</v>
      </c>
      <c r="C7" s="2">
        <v>1</v>
      </c>
      <c r="D7">
        <v>5.5555599999999998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14.44444</v>
      </c>
      <c r="N7" s="2">
        <f t="shared" si="1"/>
        <v>5.5555599999999998</v>
      </c>
    </row>
    <row r="8" spans="1:14" ht="15.6" x14ac:dyDescent="0.3">
      <c r="A8" s="2" t="s">
        <v>50</v>
      </c>
      <c r="B8" s="2" t="s">
        <v>117</v>
      </c>
      <c r="C8" s="2">
        <v>2</v>
      </c>
      <c r="D8">
        <v>11.11111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8.88889</v>
      </c>
      <c r="N8" s="2">
        <f t="shared" si="1"/>
        <v>11.11111</v>
      </c>
    </row>
    <row r="9" spans="1:14" ht="15.6" x14ac:dyDescent="0.3">
      <c r="A9" s="2" t="s">
        <v>50</v>
      </c>
      <c r="B9" s="2" t="s">
        <v>117</v>
      </c>
      <c r="C9" s="2">
        <v>3</v>
      </c>
      <c r="D9">
        <v>27.77778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7.7777799999999999</v>
      </c>
      <c r="N9" s="2">
        <f t="shared" si="1"/>
        <v>27.77778</v>
      </c>
    </row>
    <row r="10" spans="1:14" ht="15.6" x14ac:dyDescent="0.3">
      <c r="A10" s="2" t="s">
        <v>50</v>
      </c>
      <c r="B10" s="2" t="s">
        <v>117</v>
      </c>
      <c r="C10" s="2">
        <v>4</v>
      </c>
      <c r="D10">
        <v>37.037039999999998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17.037039999999998</v>
      </c>
      <c r="N10" s="2">
        <f t="shared" si="1"/>
        <v>37.037039999999998</v>
      </c>
    </row>
    <row r="11" spans="1:14" ht="15.6" x14ac:dyDescent="0.3">
      <c r="A11" s="2" t="s">
        <v>50</v>
      </c>
      <c r="B11" s="2" t="s">
        <v>117</v>
      </c>
      <c r="C11" s="2">
        <v>5</v>
      </c>
      <c r="D11">
        <v>18.518519999999999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1.4814800000000012</v>
      </c>
      <c r="N11" s="2">
        <f t="shared" si="1"/>
        <v>18.518519999999999</v>
      </c>
    </row>
    <row r="12" spans="1:14" ht="15.6" x14ac:dyDescent="0.3">
      <c r="A12" s="2" t="s">
        <v>51</v>
      </c>
      <c r="B12" s="2" t="s">
        <v>117</v>
      </c>
      <c r="C12" s="2" t="s">
        <v>19</v>
      </c>
      <c r="D12">
        <v>64.814809999999994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64.814809999999994</v>
      </c>
    </row>
    <row r="13" spans="1:14" ht="15.6" x14ac:dyDescent="0.3">
      <c r="A13" s="2" t="s">
        <v>51</v>
      </c>
      <c r="B13" s="2" t="s">
        <v>117</v>
      </c>
      <c r="C13" s="2" t="s">
        <v>22</v>
      </c>
      <c r="D13">
        <v>44.44444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44.44444</v>
      </c>
    </row>
    <row r="14" spans="1:14" ht="15.6" x14ac:dyDescent="0.3">
      <c r="A14" s="2" t="s">
        <v>51</v>
      </c>
      <c r="B14" s="2" t="s">
        <v>117</v>
      </c>
      <c r="C14" s="2" t="s">
        <v>23</v>
      </c>
      <c r="D14">
        <v>57.407409999999999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57.407409999999999</v>
      </c>
    </row>
    <row r="15" spans="1:14" ht="15.6" x14ac:dyDescent="0.3">
      <c r="A15" s="2" t="s">
        <v>51</v>
      </c>
      <c r="B15" s="2" t="s">
        <v>117</v>
      </c>
      <c r="C15" s="2" t="s">
        <v>24</v>
      </c>
      <c r="D15">
        <v>70.370369999999994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70.370369999999994</v>
      </c>
    </row>
    <row r="16" spans="1:14" ht="15.6" x14ac:dyDescent="0.3">
      <c r="A16" s="2" t="s">
        <v>52</v>
      </c>
      <c r="B16" s="2" t="s">
        <v>117</v>
      </c>
      <c r="C16" s="2" t="s">
        <v>26</v>
      </c>
      <c r="D16">
        <v>33.333329999999997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33.333329999999997</v>
      </c>
    </row>
    <row r="17" spans="1:14" ht="15.6" x14ac:dyDescent="0.3">
      <c r="A17" s="2" t="s">
        <v>52</v>
      </c>
      <c r="B17" s="2" t="s">
        <v>117</v>
      </c>
      <c r="C17" s="2" t="s">
        <v>27</v>
      </c>
      <c r="D17">
        <v>38.888890000000004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38.888890000000004</v>
      </c>
    </row>
    <row r="18" spans="1:14" ht="15.6" x14ac:dyDescent="0.3">
      <c r="A18" s="2" t="s">
        <v>52</v>
      </c>
      <c r="B18" s="2" t="s">
        <v>117</v>
      </c>
      <c r="C18" s="2" t="s">
        <v>28</v>
      </c>
      <c r="D18">
        <v>53.703699999999998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53.703699999999998</v>
      </c>
    </row>
    <row r="19" spans="1:14" ht="15.6" x14ac:dyDescent="0.3">
      <c r="A19" s="2" t="s">
        <v>52</v>
      </c>
      <c r="B19" s="2" t="s">
        <v>117</v>
      </c>
      <c r="C19" s="2" t="s">
        <v>29</v>
      </c>
      <c r="D19">
        <v>27.77778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27.77778</v>
      </c>
    </row>
    <row r="20" spans="1:14" ht="15.6" x14ac:dyDescent="0.3">
      <c r="A20" s="2" t="s">
        <v>53</v>
      </c>
      <c r="B20" s="2" t="s">
        <v>117</v>
      </c>
      <c r="C20" s="2" t="s">
        <v>31</v>
      </c>
      <c r="D20">
        <v>55.55556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5.5555599999999998</v>
      </c>
      <c r="N20" s="2">
        <f t="shared" si="1"/>
        <v>55.55556</v>
      </c>
    </row>
    <row r="21" spans="1:14" ht="15.6" x14ac:dyDescent="0.3">
      <c r="A21" s="2" t="s">
        <v>53</v>
      </c>
      <c r="B21" s="2" t="s">
        <v>117</v>
      </c>
      <c r="C21" s="2" t="s">
        <v>33</v>
      </c>
      <c r="D21">
        <v>44.44444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5.5555599999999998</v>
      </c>
      <c r="N21" s="2">
        <f t="shared" si="1"/>
        <v>44.44444</v>
      </c>
    </row>
    <row r="22" spans="1:14" ht="15.6" x14ac:dyDescent="0.3">
      <c r="A22" s="2" t="s">
        <v>54</v>
      </c>
      <c r="B22" s="2" t="s">
        <v>117</v>
      </c>
      <c r="C22" s="2" t="s">
        <v>31</v>
      </c>
      <c r="D22">
        <v>38.888890000000004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11.111109999999996</v>
      </c>
      <c r="N22" s="2">
        <f t="shared" si="1"/>
        <v>38.888890000000004</v>
      </c>
    </row>
    <row r="23" spans="1:14" ht="15.6" x14ac:dyDescent="0.3">
      <c r="A23" s="2" t="s">
        <v>54</v>
      </c>
      <c r="B23" s="2" t="s">
        <v>117</v>
      </c>
      <c r="C23" s="2" t="s">
        <v>33</v>
      </c>
      <c r="D23">
        <v>61.111109999999996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11.111109999999996</v>
      </c>
      <c r="N23" s="2">
        <f t="shared" si="1"/>
        <v>61.111109999999996</v>
      </c>
    </row>
    <row r="24" spans="1:14" ht="15.6" x14ac:dyDescent="0.3">
      <c r="A24" s="2" t="s">
        <v>55</v>
      </c>
      <c r="B24" s="2" t="s">
        <v>117</v>
      </c>
      <c r="C24" s="2" t="s">
        <v>36</v>
      </c>
      <c r="D24">
        <v>29.629629999999999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12.962963329999997</v>
      </c>
      <c r="N24" s="2">
        <f t="shared" si="1"/>
        <v>29.629629999999999</v>
      </c>
    </row>
    <row r="25" spans="1:14" ht="15.6" x14ac:dyDescent="0.3">
      <c r="A25" s="2" t="s">
        <v>55</v>
      </c>
      <c r="B25" s="2" t="s">
        <v>117</v>
      </c>
      <c r="C25" s="2" t="s">
        <v>38</v>
      </c>
      <c r="D25">
        <v>20.370370000000001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3.7037033299999997</v>
      </c>
      <c r="N25" s="2">
        <f t="shared" si="1"/>
        <v>20.370370000000001</v>
      </c>
    </row>
    <row r="26" spans="1:14" ht="15.6" x14ac:dyDescent="0.3">
      <c r="A26" s="2" t="s">
        <v>55</v>
      </c>
      <c r="B26" s="2" t="s">
        <v>117</v>
      </c>
      <c r="C26" s="2" t="s">
        <v>39</v>
      </c>
      <c r="D26">
        <v>14.81481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1.8518566700000019</v>
      </c>
      <c r="N26" s="2">
        <f t="shared" si="1"/>
        <v>14.81481</v>
      </c>
    </row>
    <row r="27" spans="1:14" ht="15.6" x14ac:dyDescent="0.3">
      <c r="A27" s="2" t="s">
        <v>55</v>
      </c>
      <c r="B27" s="2" t="s">
        <v>117</v>
      </c>
      <c r="C27" s="2" t="s">
        <v>40</v>
      </c>
      <c r="D27">
        <v>3.7037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12.962966670000002</v>
      </c>
      <c r="N27" s="2">
        <f t="shared" si="1"/>
        <v>3.7037</v>
      </c>
    </row>
    <row r="28" spans="1:14" ht="15.6" x14ac:dyDescent="0.3">
      <c r="A28" s="2" t="s">
        <v>55</v>
      </c>
      <c r="B28" s="2" t="s">
        <v>117</v>
      </c>
      <c r="C28" s="2" t="s">
        <v>41</v>
      </c>
      <c r="D28">
        <v>27.77778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11.111113329999998</v>
      </c>
      <c r="N28" s="2">
        <f t="shared" si="1"/>
        <v>27.77778</v>
      </c>
    </row>
    <row r="29" spans="1:14" ht="15.6" x14ac:dyDescent="0.3">
      <c r="A29" s="2" t="s">
        <v>55</v>
      </c>
      <c r="B29" s="2" t="s">
        <v>117</v>
      </c>
      <c r="C29" s="2" t="s">
        <v>33</v>
      </c>
      <c r="D29">
        <v>3.7037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12.962966670000002</v>
      </c>
      <c r="N29" s="2">
        <f t="shared" si="1"/>
        <v>3.7037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435F-9ADD-4DE6-9F9E-EC6F1F8878E7}">
  <dimension ref="A1:N29"/>
  <sheetViews>
    <sheetView zoomScale="85" zoomScaleNormal="85" workbookViewId="0">
      <selection activeCell="P16" sqref="P16"/>
    </sheetView>
  </sheetViews>
  <sheetFormatPr defaultColWidth="11.19921875" defaultRowHeight="13.2" x14ac:dyDescent="0.25"/>
  <cols>
    <col min="1" max="2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20.5" style="2" bestFit="1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25">
      <c r="A1" s="2" t="s">
        <v>3</v>
      </c>
      <c r="B1" s="2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ht="15.6" x14ac:dyDescent="0.3">
      <c r="A2" s="2" t="s">
        <v>49</v>
      </c>
      <c r="B2" s="2" t="s">
        <v>118</v>
      </c>
      <c r="C2" s="2">
        <v>1</v>
      </c>
      <c r="D2">
        <v>5.5555599999999998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14.44444</v>
      </c>
      <c r="N2" s="2">
        <f>ABS(M2-D2)</f>
        <v>5.5555599999999998</v>
      </c>
    </row>
    <row r="3" spans="1:14" ht="15.6" x14ac:dyDescent="0.3">
      <c r="A3" s="2" t="s">
        <v>49</v>
      </c>
      <c r="B3" s="2" t="s">
        <v>118</v>
      </c>
      <c r="C3" s="2">
        <v>2</v>
      </c>
      <c r="D3">
        <v>12.962960000000001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7.0370399999999993</v>
      </c>
      <c r="N3" s="2">
        <f t="shared" ref="N3:N29" si="1">ABS(M3-D3)</f>
        <v>12.962960000000001</v>
      </c>
    </row>
    <row r="4" spans="1:14" ht="15.6" x14ac:dyDescent="0.3">
      <c r="A4" s="2" t="s">
        <v>49</v>
      </c>
      <c r="B4" s="2" t="s">
        <v>118</v>
      </c>
      <c r="C4" s="2">
        <v>3</v>
      </c>
      <c r="D4">
        <v>29.629629999999999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9.6296299999999988</v>
      </c>
      <c r="N4" s="2">
        <f t="shared" si="1"/>
        <v>29.629629999999999</v>
      </c>
    </row>
    <row r="5" spans="1:14" ht="15.6" x14ac:dyDescent="0.3">
      <c r="A5" s="2" t="s">
        <v>49</v>
      </c>
      <c r="B5" s="2" t="s">
        <v>118</v>
      </c>
      <c r="C5" s="2">
        <v>4</v>
      </c>
      <c r="D5">
        <v>37.037039999999998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17.037039999999998</v>
      </c>
      <c r="N5" s="2">
        <f t="shared" si="1"/>
        <v>37.037039999999998</v>
      </c>
    </row>
    <row r="6" spans="1:14" ht="15.6" x14ac:dyDescent="0.3">
      <c r="A6" s="2" t="s">
        <v>49</v>
      </c>
      <c r="B6" s="2" t="s">
        <v>118</v>
      </c>
      <c r="C6" s="2">
        <v>5</v>
      </c>
      <c r="D6">
        <v>14.81481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5.1851900000000004</v>
      </c>
      <c r="N6" s="2">
        <f t="shared" si="1"/>
        <v>14.81481</v>
      </c>
    </row>
    <row r="7" spans="1:14" ht="15.6" x14ac:dyDescent="0.3">
      <c r="A7" s="2" t="s">
        <v>50</v>
      </c>
      <c r="B7" s="2" t="s">
        <v>118</v>
      </c>
      <c r="C7" s="2">
        <v>1</v>
      </c>
      <c r="D7">
        <v>7.4074099999999996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12.592590000000001</v>
      </c>
      <c r="N7" s="2">
        <f t="shared" si="1"/>
        <v>7.4074099999999996</v>
      </c>
    </row>
    <row r="8" spans="1:14" ht="15.6" x14ac:dyDescent="0.3">
      <c r="A8" s="2" t="s">
        <v>50</v>
      </c>
      <c r="B8" s="2" t="s">
        <v>118</v>
      </c>
      <c r="C8" s="2">
        <v>2</v>
      </c>
      <c r="D8">
        <v>14.81481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5.1851900000000004</v>
      </c>
      <c r="N8" s="2">
        <f t="shared" si="1"/>
        <v>14.81481</v>
      </c>
    </row>
    <row r="9" spans="1:14" ht="15.6" x14ac:dyDescent="0.3">
      <c r="A9" s="2" t="s">
        <v>50</v>
      </c>
      <c r="B9" s="2" t="s">
        <v>118</v>
      </c>
      <c r="C9" s="2">
        <v>3</v>
      </c>
      <c r="D9">
        <v>33.333329999999997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13.333329999999997</v>
      </c>
      <c r="N9" s="2">
        <f t="shared" si="1"/>
        <v>33.333329999999997</v>
      </c>
    </row>
    <row r="10" spans="1:14" ht="15.6" x14ac:dyDescent="0.3">
      <c r="A10" s="2" t="s">
        <v>50</v>
      </c>
      <c r="B10" s="2" t="s">
        <v>118</v>
      </c>
      <c r="C10" s="2">
        <v>4</v>
      </c>
      <c r="D10">
        <v>31.481480000000001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11.481480000000001</v>
      </c>
      <c r="N10" s="2">
        <f t="shared" si="1"/>
        <v>31.481480000000001</v>
      </c>
    </row>
    <row r="11" spans="1:14" ht="15.6" x14ac:dyDescent="0.3">
      <c r="A11" s="2" t="s">
        <v>50</v>
      </c>
      <c r="B11" s="2" t="s">
        <v>118</v>
      </c>
      <c r="C11" s="2">
        <v>5</v>
      </c>
      <c r="D11">
        <v>12.962960000000001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7.0370399999999993</v>
      </c>
      <c r="N11" s="2">
        <f t="shared" si="1"/>
        <v>12.962960000000001</v>
      </c>
    </row>
    <row r="12" spans="1:14" ht="15.6" x14ac:dyDescent="0.3">
      <c r="A12" s="2" t="s">
        <v>51</v>
      </c>
      <c r="B12" s="2" t="s">
        <v>118</v>
      </c>
      <c r="C12" s="2" t="s">
        <v>19</v>
      </c>
      <c r="D12">
        <v>57.407409999999999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57.407409999999999</v>
      </c>
    </row>
    <row r="13" spans="1:14" ht="15.6" x14ac:dyDescent="0.3">
      <c r="A13" s="2" t="s">
        <v>51</v>
      </c>
      <c r="B13" s="2" t="s">
        <v>118</v>
      </c>
      <c r="C13" s="2" t="s">
        <v>22</v>
      </c>
      <c r="D13">
        <v>42.592590000000001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42.592590000000001</v>
      </c>
    </row>
    <row r="14" spans="1:14" ht="15.6" x14ac:dyDescent="0.3">
      <c r="A14" s="2" t="s">
        <v>51</v>
      </c>
      <c r="B14" s="2" t="s">
        <v>118</v>
      </c>
      <c r="C14" s="2" t="s">
        <v>23</v>
      </c>
      <c r="D14">
        <v>51.851849999999999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51.851849999999999</v>
      </c>
    </row>
    <row r="15" spans="1:14" ht="15.6" x14ac:dyDescent="0.3">
      <c r="A15" s="2" t="s">
        <v>51</v>
      </c>
      <c r="B15" s="2" t="s">
        <v>118</v>
      </c>
      <c r="C15" s="2" t="s">
        <v>24</v>
      </c>
      <c r="D15">
        <v>62.962960000000002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62.962960000000002</v>
      </c>
    </row>
    <row r="16" spans="1:14" ht="15.6" x14ac:dyDescent="0.3">
      <c r="A16" s="2" t="s">
        <v>52</v>
      </c>
      <c r="B16" s="2" t="s">
        <v>118</v>
      </c>
      <c r="C16" s="2" t="s">
        <v>26</v>
      </c>
      <c r="D16">
        <v>38.888890000000004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38.888890000000004</v>
      </c>
    </row>
    <row r="17" spans="1:14" ht="15.6" x14ac:dyDescent="0.3">
      <c r="A17" s="2" t="s">
        <v>52</v>
      </c>
      <c r="B17" s="2" t="s">
        <v>118</v>
      </c>
      <c r="C17" s="2" t="s">
        <v>27</v>
      </c>
      <c r="D17">
        <v>48.148150000000001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48.148150000000001</v>
      </c>
    </row>
    <row r="18" spans="1:14" ht="15.6" x14ac:dyDescent="0.3">
      <c r="A18" s="2" t="s">
        <v>52</v>
      </c>
      <c r="B18" s="2" t="s">
        <v>118</v>
      </c>
      <c r="C18" s="2" t="s">
        <v>28</v>
      </c>
      <c r="D18">
        <v>53.703699999999998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53.703699999999998</v>
      </c>
    </row>
    <row r="19" spans="1:14" ht="15.6" x14ac:dyDescent="0.3">
      <c r="A19" s="2" t="s">
        <v>52</v>
      </c>
      <c r="B19" s="2" t="s">
        <v>118</v>
      </c>
      <c r="C19" s="2" t="s">
        <v>29</v>
      </c>
      <c r="D19">
        <v>33.333329999999997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33.333329999999997</v>
      </c>
    </row>
    <row r="20" spans="1:14" ht="15.6" x14ac:dyDescent="0.3">
      <c r="A20" s="2" t="s">
        <v>53</v>
      </c>
      <c r="B20" s="2" t="s">
        <v>118</v>
      </c>
      <c r="C20" s="2" t="s">
        <v>31</v>
      </c>
      <c r="D20">
        <v>44.44444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5.5555599999999998</v>
      </c>
      <c r="N20" s="2">
        <f t="shared" si="1"/>
        <v>44.44444</v>
      </c>
    </row>
    <row r="21" spans="1:14" ht="15.6" x14ac:dyDescent="0.3">
      <c r="A21" s="2" t="s">
        <v>53</v>
      </c>
      <c r="B21" s="2" t="s">
        <v>118</v>
      </c>
      <c r="C21" s="2" t="s">
        <v>33</v>
      </c>
      <c r="D21">
        <v>55.55556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5.5555599999999998</v>
      </c>
      <c r="N21" s="2">
        <f t="shared" si="1"/>
        <v>55.55556</v>
      </c>
    </row>
    <row r="22" spans="1:14" ht="15.6" x14ac:dyDescent="0.3">
      <c r="A22" s="2" t="s">
        <v>54</v>
      </c>
      <c r="B22" s="2" t="s">
        <v>118</v>
      </c>
      <c r="C22" s="2" t="s">
        <v>31</v>
      </c>
      <c r="D22">
        <v>31.481480000000001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18.518519999999999</v>
      </c>
      <c r="N22" s="2">
        <f t="shared" si="1"/>
        <v>31.481480000000001</v>
      </c>
    </row>
    <row r="23" spans="1:14" ht="15.6" x14ac:dyDescent="0.3">
      <c r="A23" s="2" t="s">
        <v>54</v>
      </c>
      <c r="B23" s="2" t="s">
        <v>118</v>
      </c>
      <c r="C23" s="2" t="s">
        <v>33</v>
      </c>
      <c r="D23">
        <v>68.518519999999995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18.518519999999995</v>
      </c>
      <c r="N23" s="2">
        <f t="shared" si="1"/>
        <v>68.518519999999995</v>
      </c>
    </row>
    <row r="24" spans="1:14" ht="15.6" x14ac:dyDescent="0.3">
      <c r="A24" s="2" t="s">
        <v>55</v>
      </c>
      <c r="B24" s="2" t="s">
        <v>118</v>
      </c>
      <c r="C24" s="2" t="s">
        <v>36</v>
      </c>
      <c r="D24">
        <v>37.037039999999998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20.370373329999996</v>
      </c>
      <c r="N24" s="2">
        <f t="shared" si="1"/>
        <v>37.037039999999998</v>
      </c>
    </row>
    <row r="25" spans="1:14" ht="15.6" x14ac:dyDescent="0.3">
      <c r="A25" s="2" t="s">
        <v>55</v>
      </c>
      <c r="B25" s="2" t="s">
        <v>118</v>
      </c>
      <c r="C25" s="2" t="s">
        <v>38</v>
      </c>
      <c r="D25">
        <v>16.66667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3.3299999984137685E-6</v>
      </c>
      <c r="N25" s="2">
        <f t="shared" si="1"/>
        <v>16.66667</v>
      </c>
    </row>
    <row r="26" spans="1:14" ht="15.6" x14ac:dyDescent="0.3">
      <c r="A26" s="2" t="s">
        <v>55</v>
      </c>
      <c r="B26" s="2" t="s">
        <v>118</v>
      </c>
      <c r="C26" s="2" t="s">
        <v>39</v>
      </c>
      <c r="D26">
        <v>14.81481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1.8518566700000019</v>
      </c>
      <c r="N26" s="2">
        <f t="shared" si="1"/>
        <v>14.81481</v>
      </c>
    </row>
    <row r="27" spans="1:14" ht="15.6" x14ac:dyDescent="0.3">
      <c r="A27" s="2" t="s">
        <v>55</v>
      </c>
      <c r="B27" s="2" t="s">
        <v>118</v>
      </c>
      <c r="C27" s="2" t="s">
        <v>40</v>
      </c>
      <c r="D27">
        <v>3.7037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12.962966670000002</v>
      </c>
      <c r="N27" s="2">
        <f t="shared" si="1"/>
        <v>3.7037</v>
      </c>
    </row>
    <row r="28" spans="1:14" ht="15.6" x14ac:dyDescent="0.3">
      <c r="A28" s="2" t="s">
        <v>55</v>
      </c>
      <c r="B28" s="2" t="s">
        <v>118</v>
      </c>
      <c r="C28" s="2" t="s">
        <v>41</v>
      </c>
      <c r="D28">
        <v>25.925930000000001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9.2592633299999996</v>
      </c>
      <c r="N28" s="2">
        <f t="shared" si="1"/>
        <v>25.925930000000001</v>
      </c>
    </row>
    <row r="29" spans="1:14" ht="15.6" x14ac:dyDescent="0.3">
      <c r="A29" s="2" t="s">
        <v>55</v>
      </c>
      <c r="B29" s="2" t="s">
        <v>118</v>
      </c>
      <c r="C29" s="2" t="s">
        <v>33</v>
      </c>
      <c r="D29">
        <v>1.85185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14.814816670000001</v>
      </c>
      <c r="N29" s="2">
        <f t="shared" si="1"/>
        <v>1.85185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DD28-8F16-4CD4-AD44-B4549DF1995C}">
  <dimension ref="A1:N29"/>
  <sheetViews>
    <sheetView tabSelected="1" zoomScale="80" zoomScaleNormal="80" workbookViewId="0">
      <selection activeCell="P20" sqref="P20"/>
    </sheetView>
  </sheetViews>
  <sheetFormatPr defaultColWidth="11.19921875" defaultRowHeight="13.2" x14ac:dyDescent="0.25"/>
  <cols>
    <col min="1" max="2" width="11.59765625" style="2" customWidth="1"/>
    <col min="3" max="9" width="11.19921875" style="2"/>
    <col min="10" max="10" width="12.19921875" style="2" bestFit="1" customWidth="1"/>
    <col min="11" max="11" width="12.69921875" style="2" bestFit="1" customWidth="1"/>
    <col min="12" max="12" width="20.5" style="2" bestFit="1" customWidth="1"/>
    <col min="13" max="13" width="8.69921875" style="2" bestFit="1" customWidth="1"/>
    <col min="14" max="14" width="9.19921875" style="2" bestFit="1" customWidth="1"/>
    <col min="15" max="16384" width="11.19921875" style="2"/>
  </cols>
  <sheetData>
    <row r="1" spans="1:14" x14ac:dyDescent="0.25">
      <c r="A1" s="2" t="s">
        <v>3</v>
      </c>
      <c r="B1" s="2" t="s">
        <v>114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9</v>
      </c>
      <c r="K1" s="2" t="s">
        <v>10</v>
      </c>
      <c r="L1" s="2" t="s">
        <v>45</v>
      </c>
      <c r="M1" s="2" t="s">
        <v>7</v>
      </c>
      <c r="N1" s="2" t="s">
        <v>8</v>
      </c>
    </row>
    <row r="2" spans="1:14" ht="15.6" x14ac:dyDescent="0.3">
      <c r="A2" s="2" t="s">
        <v>49</v>
      </c>
      <c r="B2" s="2" t="s">
        <v>119</v>
      </c>
      <c r="C2" s="2">
        <v>1</v>
      </c>
      <c r="D2">
        <v>5.5555599999999998</v>
      </c>
      <c r="E2" s="2">
        <v>54</v>
      </c>
      <c r="F2" s="2" t="s">
        <v>16</v>
      </c>
      <c r="G2" s="2">
        <v>5</v>
      </c>
      <c r="H2" s="2" t="s">
        <v>0</v>
      </c>
      <c r="I2" s="2">
        <v>1</v>
      </c>
      <c r="J2" s="2">
        <v>20</v>
      </c>
      <c r="K2" s="2">
        <f t="shared" ref="K2:K29" si="0">ABS(J2-D2)</f>
        <v>14.44444</v>
      </c>
      <c r="N2" s="2">
        <f>ABS(M2-D2)</f>
        <v>5.5555599999999998</v>
      </c>
    </row>
    <row r="3" spans="1:14" ht="15.6" x14ac:dyDescent="0.3">
      <c r="A3" s="2" t="s">
        <v>49</v>
      </c>
      <c r="B3" s="2" t="s">
        <v>119</v>
      </c>
      <c r="C3" s="2">
        <v>2</v>
      </c>
      <c r="D3">
        <v>11.11111</v>
      </c>
      <c r="E3" s="2">
        <v>54</v>
      </c>
      <c r="F3" s="2" t="s">
        <v>16</v>
      </c>
      <c r="G3" s="2">
        <v>5</v>
      </c>
      <c r="H3" s="2" t="s">
        <v>0</v>
      </c>
      <c r="I3" s="2">
        <v>1</v>
      </c>
      <c r="J3" s="2">
        <v>20</v>
      </c>
      <c r="K3" s="2">
        <f t="shared" si="0"/>
        <v>8.88889</v>
      </c>
      <c r="N3" s="2">
        <f t="shared" ref="N3:N29" si="1">ABS(M3-D3)</f>
        <v>11.11111</v>
      </c>
    </row>
    <row r="4" spans="1:14" ht="15.6" x14ac:dyDescent="0.3">
      <c r="A4" s="2" t="s">
        <v>49</v>
      </c>
      <c r="B4" s="2" t="s">
        <v>119</v>
      </c>
      <c r="C4" s="2">
        <v>3</v>
      </c>
      <c r="D4">
        <v>25.925930000000001</v>
      </c>
      <c r="E4" s="2">
        <v>54</v>
      </c>
      <c r="F4" s="2" t="s">
        <v>16</v>
      </c>
      <c r="G4" s="2">
        <v>5</v>
      </c>
      <c r="H4" s="2" t="s">
        <v>0</v>
      </c>
      <c r="I4" s="2">
        <v>1</v>
      </c>
      <c r="J4" s="2">
        <v>20</v>
      </c>
      <c r="K4" s="2">
        <f>ABS(J4-D4)</f>
        <v>5.925930000000001</v>
      </c>
      <c r="N4" s="2">
        <f t="shared" si="1"/>
        <v>25.925930000000001</v>
      </c>
    </row>
    <row r="5" spans="1:14" ht="15.6" x14ac:dyDescent="0.3">
      <c r="A5" s="2" t="s">
        <v>49</v>
      </c>
      <c r="B5" s="2" t="s">
        <v>119</v>
      </c>
      <c r="C5" s="2">
        <v>4</v>
      </c>
      <c r="D5">
        <v>37.037039999999998</v>
      </c>
      <c r="E5" s="2">
        <v>54</v>
      </c>
      <c r="F5" s="2" t="s">
        <v>16</v>
      </c>
      <c r="G5" s="2">
        <v>5</v>
      </c>
      <c r="H5" s="2" t="s">
        <v>0</v>
      </c>
      <c r="I5" s="2">
        <v>1</v>
      </c>
      <c r="J5" s="2">
        <v>20</v>
      </c>
      <c r="K5" s="2">
        <f t="shared" si="0"/>
        <v>17.037039999999998</v>
      </c>
      <c r="N5" s="2">
        <f t="shared" si="1"/>
        <v>37.037039999999998</v>
      </c>
    </row>
    <row r="6" spans="1:14" ht="15.6" x14ac:dyDescent="0.3">
      <c r="A6" s="2" t="s">
        <v>49</v>
      </c>
      <c r="B6" s="2" t="s">
        <v>119</v>
      </c>
      <c r="C6" s="2">
        <v>5</v>
      </c>
      <c r="D6">
        <v>20.370370000000001</v>
      </c>
      <c r="E6" s="2">
        <v>54</v>
      </c>
      <c r="F6" s="2" t="s">
        <v>16</v>
      </c>
      <c r="G6" s="2">
        <v>5</v>
      </c>
      <c r="H6" s="2" t="s">
        <v>0</v>
      </c>
      <c r="I6" s="2">
        <v>1</v>
      </c>
      <c r="J6" s="2">
        <v>20</v>
      </c>
      <c r="K6" s="2">
        <f t="shared" si="0"/>
        <v>0.3703700000000012</v>
      </c>
      <c r="N6" s="2">
        <f t="shared" si="1"/>
        <v>20.370370000000001</v>
      </c>
    </row>
    <row r="7" spans="1:14" ht="15.6" x14ac:dyDescent="0.3">
      <c r="A7" s="2" t="s">
        <v>50</v>
      </c>
      <c r="B7" s="2" t="s">
        <v>119</v>
      </c>
      <c r="C7" s="2">
        <v>1</v>
      </c>
      <c r="D7">
        <v>7.4074099999999996</v>
      </c>
      <c r="E7" s="2">
        <v>54</v>
      </c>
      <c r="F7" s="2" t="s">
        <v>16</v>
      </c>
      <c r="G7" s="2">
        <v>5</v>
      </c>
      <c r="H7" s="2" t="s">
        <v>0</v>
      </c>
      <c r="I7" s="2">
        <v>1</v>
      </c>
      <c r="J7" s="2">
        <v>20</v>
      </c>
      <c r="K7" s="2">
        <f t="shared" si="0"/>
        <v>12.592590000000001</v>
      </c>
      <c r="N7" s="2">
        <f t="shared" si="1"/>
        <v>7.4074099999999996</v>
      </c>
    </row>
    <row r="8" spans="1:14" ht="15.6" x14ac:dyDescent="0.3">
      <c r="A8" s="2" t="s">
        <v>50</v>
      </c>
      <c r="B8" s="2" t="s">
        <v>119</v>
      </c>
      <c r="C8" s="2">
        <v>2</v>
      </c>
      <c r="D8">
        <v>12.962960000000001</v>
      </c>
      <c r="E8" s="2">
        <v>54</v>
      </c>
      <c r="F8" s="2" t="s">
        <v>16</v>
      </c>
      <c r="G8" s="2">
        <v>5</v>
      </c>
      <c r="H8" s="2" t="s">
        <v>0</v>
      </c>
      <c r="I8" s="2">
        <v>1</v>
      </c>
      <c r="J8" s="2">
        <v>20</v>
      </c>
      <c r="K8" s="2">
        <f t="shared" si="0"/>
        <v>7.0370399999999993</v>
      </c>
      <c r="N8" s="2">
        <f t="shared" si="1"/>
        <v>12.962960000000001</v>
      </c>
    </row>
    <row r="9" spans="1:14" ht="15.6" x14ac:dyDescent="0.3">
      <c r="A9" s="2" t="s">
        <v>50</v>
      </c>
      <c r="B9" s="2" t="s">
        <v>119</v>
      </c>
      <c r="C9" s="2">
        <v>3</v>
      </c>
      <c r="D9">
        <v>29.629629999999999</v>
      </c>
      <c r="E9" s="2">
        <v>54</v>
      </c>
      <c r="F9" s="2" t="s">
        <v>16</v>
      </c>
      <c r="G9" s="2">
        <v>5</v>
      </c>
      <c r="H9" s="2" t="s">
        <v>0</v>
      </c>
      <c r="I9" s="2">
        <v>1</v>
      </c>
      <c r="J9" s="2">
        <v>20</v>
      </c>
      <c r="K9" s="2">
        <f t="shared" si="0"/>
        <v>9.6296299999999988</v>
      </c>
      <c r="N9" s="2">
        <f t="shared" si="1"/>
        <v>29.629629999999999</v>
      </c>
    </row>
    <row r="10" spans="1:14" ht="15.6" x14ac:dyDescent="0.3">
      <c r="A10" s="2" t="s">
        <v>50</v>
      </c>
      <c r="B10" s="2" t="s">
        <v>119</v>
      </c>
      <c r="C10" s="2">
        <v>4</v>
      </c>
      <c r="D10">
        <v>33.333329999999997</v>
      </c>
      <c r="E10" s="2">
        <v>54</v>
      </c>
      <c r="F10" s="2" t="s">
        <v>16</v>
      </c>
      <c r="G10" s="2">
        <v>5</v>
      </c>
      <c r="H10" s="2" t="s">
        <v>0</v>
      </c>
      <c r="I10" s="2">
        <v>1</v>
      </c>
      <c r="J10" s="2">
        <v>20</v>
      </c>
      <c r="K10" s="2">
        <f t="shared" si="0"/>
        <v>13.333329999999997</v>
      </c>
      <c r="N10" s="2">
        <f t="shared" si="1"/>
        <v>33.333329999999997</v>
      </c>
    </row>
    <row r="11" spans="1:14" ht="15.6" x14ac:dyDescent="0.3">
      <c r="A11" s="2" t="s">
        <v>50</v>
      </c>
      <c r="B11" s="2" t="s">
        <v>119</v>
      </c>
      <c r="C11" s="2">
        <v>5</v>
      </c>
      <c r="D11">
        <v>16.66667</v>
      </c>
      <c r="E11" s="2">
        <v>54</v>
      </c>
      <c r="F11" s="2" t="s">
        <v>16</v>
      </c>
      <c r="G11" s="2">
        <v>5</v>
      </c>
      <c r="H11" s="2" t="s">
        <v>0</v>
      </c>
      <c r="I11" s="2">
        <v>1</v>
      </c>
      <c r="J11" s="2">
        <v>20</v>
      </c>
      <c r="K11" s="2">
        <f t="shared" si="0"/>
        <v>3.3333300000000001</v>
      </c>
      <c r="N11" s="2">
        <f t="shared" si="1"/>
        <v>16.66667</v>
      </c>
    </row>
    <row r="12" spans="1:14" ht="15.6" x14ac:dyDescent="0.3">
      <c r="A12" s="2" t="s">
        <v>51</v>
      </c>
      <c r="B12" s="2" t="s">
        <v>119</v>
      </c>
      <c r="C12" s="2" t="s">
        <v>19</v>
      </c>
      <c r="D12">
        <v>68.518519999999995</v>
      </c>
      <c r="E12" s="2">
        <v>54</v>
      </c>
      <c r="F12" s="2" t="s">
        <v>21</v>
      </c>
      <c r="G12" s="2" t="s">
        <v>21</v>
      </c>
      <c r="H12" s="2" t="s">
        <v>0</v>
      </c>
      <c r="I12" s="2">
        <v>1</v>
      </c>
      <c r="J12" s="2" t="s">
        <v>20</v>
      </c>
      <c r="N12" s="2">
        <f t="shared" si="1"/>
        <v>68.518519999999995</v>
      </c>
    </row>
    <row r="13" spans="1:14" ht="15.6" x14ac:dyDescent="0.3">
      <c r="A13" s="2" t="s">
        <v>51</v>
      </c>
      <c r="B13" s="2" t="s">
        <v>119</v>
      </c>
      <c r="C13" s="2" t="s">
        <v>22</v>
      </c>
      <c r="D13">
        <v>40.740740000000002</v>
      </c>
      <c r="E13" s="2">
        <v>54</v>
      </c>
      <c r="F13" s="2" t="s">
        <v>21</v>
      </c>
      <c r="G13" s="2" t="s">
        <v>21</v>
      </c>
      <c r="H13" s="2" t="s">
        <v>0</v>
      </c>
      <c r="I13" s="2">
        <v>1</v>
      </c>
      <c r="J13" s="2" t="s">
        <v>20</v>
      </c>
      <c r="N13" s="2">
        <f t="shared" si="1"/>
        <v>40.740740000000002</v>
      </c>
    </row>
    <row r="14" spans="1:14" ht="15.6" x14ac:dyDescent="0.3">
      <c r="A14" s="2" t="s">
        <v>51</v>
      </c>
      <c r="B14" s="2" t="s">
        <v>119</v>
      </c>
      <c r="C14" s="2" t="s">
        <v>23</v>
      </c>
      <c r="D14">
        <v>55.55556</v>
      </c>
      <c r="E14" s="2">
        <v>54</v>
      </c>
      <c r="F14" s="2" t="s">
        <v>21</v>
      </c>
      <c r="G14" s="2" t="s">
        <v>21</v>
      </c>
      <c r="H14" s="2" t="s">
        <v>0</v>
      </c>
      <c r="I14" s="2">
        <v>1</v>
      </c>
      <c r="J14" s="2" t="s">
        <v>20</v>
      </c>
      <c r="N14" s="2">
        <f t="shared" si="1"/>
        <v>55.55556</v>
      </c>
    </row>
    <row r="15" spans="1:14" ht="15.6" x14ac:dyDescent="0.3">
      <c r="A15" s="2" t="s">
        <v>51</v>
      </c>
      <c r="B15" s="2" t="s">
        <v>119</v>
      </c>
      <c r="C15" s="2" t="s">
        <v>24</v>
      </c>
      <c r="D15">
        <v>62.962960000000002</v>
      </c>
      <c r="E15" s="2">
        <v>54</v>
      </c>
      <c r="F15" s="2" t="s">
        <v>21</v>
      </c>
      <c r="G15" s="2" t="s">
        <v>21</v>
      </c>
      <c r="H15" s="2" t="s">
        <v>0</v>
      </c>
      <c r="I15" s="2">
        <v>1</v>
      </c>
      <c r="J15" s="2" t="s">
        <v>20</v>
      </c>
      <c r="N15" s="2">
        <f t="shared" si="1"/>
        <v>62.962960000000002</v>
      </c>
    </row>
    <row r="16" spans="1:14" ht="15.6" x14ac:dyDescent="0.3">
      <c r="A16" s="2" t="s">
        <v>52</v>
      </c>
      <c r="B16" s="2" t="s">
        <v>119</v>
      </c>
      <c r="C16" s="2" t="s">
        <v>26</v>
      </c>
      <c r="D16">
        <v>44.44444</v>
      </c>
      <c r="E16" s="2">
        <v>54</v>
      </c>
      <c r="F16" s="2" t="s">
        <v>21</v>
      </c>
      <c r="G16" s="2" t="s">
        <v>21</v>
      </c>
      <c r="H16" s="2" t="s">
        <v>0</v>
      </c>
      <c r="I16" s="2">
        <v>1</v>
      </c>
      <c r="J16" s="2" t="s">
        <v>20</v>
      </c>
      <c r="N16" s="2">
        <f t="shared" si="1"/>
        <v>44.44444</v>
      </c>
    </row>
    <row r="17" spans="1:14" ht="15.6" x14ac:dyDescent="0.3">
      <c r="A17" s="2" t="s">
        <v>52</v>
      </c>
      <c r="B17" s="2" t="s">
        <v>119</v>
      </c>
      <c r="C17" s="2" t="s">
        <v>27</v>
      </c>
      <c r="D17">
        <v>38.888890000000004</v>
      </c>
      <c r="E17" s="2">
        <v>54</v>
      </c>
      <c r="F17" s="2" t="s">
        <v>21</v>
      </c>
      <c r="G17" s="2" t="s">
        <v>21</v>
      </c>
      <c r="H17" s="2" t="s">
        <v>0</v>
      </c>
      <c r="I17" s="2">
        <v>1</v>
      </c>
      <c r="J17" s="2" t="s">
        <v>20</v>
      </c>
      <c r="N17" s="2">
        <f t="shared" si="1"/>
        <v>38.888890000000004</v>
      </c>
    </row>
    <row r="18" spans="1:14" ht="15.6" x14ac:dyDescent="0.3">
      <c r="A18" s="2" t="s">
        <v>52</v>
      </c>
      <c r="B18" s="2" t="s">
        <v>119</v>
      </c>
      <c r="C18" s="2" t="s">
        <v>28</v>
      </c>
      <c r="D18">
        <v>53.703699999999998</v>
      </c>
      <c r="E18" s="2">
        <v>54</v>
      </c>
      <c r="F18" s="2" t="s">
        <v>21</v>
      </c>
      <c r="G18" s="2" t="s">
        <v>21</v>
      </c>
      <c r="H18" s="2" t="s">
        <v>0</v>
      </c>
      <c r="I18" s="2">
        <v>1</v>
      </c>
      <c r="J18" s="2" t="s">
        <v>20</v>
      </c>
      <c r="N18" s="2">
        <f t="shared" si="1"/>
        <v>53.703699999999998</v>
      </c>
    </row>
    <row r="19" spans="1:14" ht="15.6" x14ac:dyDescent="0.3">
      <c r="A19" s="2" t="s">
        <v>52</v>
      </c>
      <c r="B19" s="2" t="s">
        <v>119</v>
      </c>
      <c r="C19" s="2" t="s">
        <v>29</v>
      </c>
      <c r="D19">
        <v>29.629629999999999</v>
      </c>
      <c r="E19" s="2">
        <v>54</v>
      </c>
      <c r="F19" s="2" t="s">
        <v>21</v>
      </c>
      <c r="G19" s="2" t="s">
        <v>21</v>
      </c>
      <c r="H19" s="2" t="s">
        <v>0</v>
      </c>
      <c r="I19" s="2">
        <v>1</v>
      </c>
      <c r="J19" s="2" t="s">
        <v>20</v>
      </c>
      <c r="N19" s="2">
        <f t="shared" si="1"/>
        <v>29.629629999999999</v>
      </c>
    </row>
    <row r="20" spans="1:14" ht="15.6" x14ac:dyDescent="0.3">
      <c r="A20" s="2" t="s">
        <v>53</v>
      </c>
      <c r="B20" s="2" t="s">
        <v>119</v>
      </c>
      <c r="C20" s="2" t="s">
        <v>31</v>
      </c>
      <c r="D20">
        <v>37.037039999999998</v>
      </c>
      <c r="E20" s="2">
        <v>54</v>
      </c>
      <c r="F20" s="2" t="s">
        <v>32</v>
      </c>
      <c r="G20" s="2">
        <v>2</v>
      </c>
      <c r="H20" s="2" t="s">
        <v>0</v>
      </c>
      <c r="I20" s="2">
        <v>1</v>
      </c>
      <c r="J20" s="2">
        <v>50</v>
      </c>
      <c r="K20" s="2">
        <f t="shared" si="0"/>
        <v>12.962960000000002</v>
      </c>
      <c r="N20" s="2">
        <f t="shared" si="1"/>
        <v>37.037039999999998</v>
      </c>
    </row>
    <row r="21" spans="1:14" ht="15.6" x14ac:dyDescent="0.3">
      <c r="A21" s="2" t="s">
        <v>53</v>
      </c>
      <c r="B21" s="2" t="s">
        <v>119</v>
      </c>
      <c r="C21" s="2" t="s">
        <v>33</v>
      </c>
      <c r="D21">
        <v>62.962960000000002</v>
      </c>
      <c r="E21" s="2">
        <v>54</v>
      </c>
      <c r="F21" s="2" t="s">
        <v>32</v>
      </c>
      <c r="G21" s="2">
        <v>2</v>
      </c>
      <c r="H21" s="2" t="s">
        <v>0</v>
      </c>
      <c r="I21" s="2">
        <v>1</v>
      </c>
      <c r="J21" s="2">
        <v>50</v>
      </c>
      <c r="K21" s="2">
        <f t="shared" si="0"/>
        <v>12.962960000000002</v>
      </c>
      <c r="N21" s="2">
        <f t="shared" si="1"/>
        <v>62.962960000000002</v>
      </c>
    </row>
    <row r="22" spans="1:14" ht="15.6" x14ac:dyDescent="0.3">
      <c r="A22" s="2" t="s">
        <v>54</v>
      </c>
      <c r="B22" s="2" t="s">
        <v>119</v>
      </c>
      <c r="C22" s="2" t="s">
        <v>31</v>
      </c>
      <c r="D22">
        <v>27.77778</v>
      </c>
      <c r="E22" s="2">
        <v>54</v>
      </c>
      <c r="F22" s="2" t="s">
        <v>32</v>
      </c>
      <c r="G22" s="2">
        <v>2</v>
      </c>
      <c r="H22" s="2" t="s">
        <v>0</v>
      </c>
      <c r="I22" s="2">
        <v>1</v>
      </c>
      <c r="J22" s="2">
        <v>50</v>
      </c>
      <c r="K22" s="2">
        <f t="shared" si="0"/>
        <v>22.22222</v>
      </c>
      <c r="N22" s="2">
        <f t="shared" si="1"/>
        <v>27.77778</v>
      </c>
    </row>
    <row r="23" spans="1:14" ht="15.6" x14ac:dyDescent="0.3">
      <c r="A23" s="2" t="s">
        <v>54</v>
      </c>
      <c r="B23" s="2" t="s">
        <v>119</v>
      </c>
      <c r="C23" s="2" t="s">
        <v>33</v>
      </c>
      <c r="D23">
        <v>72.222219999999993</v>
      </c>
      <c r="E23" s="2">
        <v>54</v>
      </c>
      <c r="F23" s="2" t="s">
        <v>32</v>
      </c>
      <c r="G23" s="2">
        <v>2</v>
      </c>
      <c r="H23" s="2" t="s">
        <v>0</v>
      </c>
      <c r="I23" s="2">
        <v>1</v>
      </c>
      <c r="J23" s="2">
        <v>50</v>
      </c>
      <c r="K23" s="2">
        <f t="shared" si="0"/>
        <v>22.222219999999993</v>
      </c>
      <c r="N23" s="2">
        <f t="shared" si="1"/>
        <v>72.222219999999993</v>
      </c>
    </row>
    <row r="24" spans="1:14" ht="15.6" x14ac:dyDescent="0.3">
      <c r="A24" s="2" t="s">
        <v>55</v>
      </c>
      <c r="B24" s="2" t="s">
        <v>119</v>
      </c>
      <c r="C24" s="2" t="s">
        <v>36</v>
      </c>
      <c r="D24">
        <v>35.185189999999999</v>
      </c>
      <c r="E24" s="2">
        <v>54</v>
      </c>
      <c r="F24" s="2" t="s">
        <v>21</v>
      </c>
      <c r="G24" s="2">
        <v>6</v>
      </c>
      <c r="H24" s="2" t="s">
        <v>37</v>
      </c>
      <c r="I24" s="2">
        <v>1</v>
      </c>
      <c r="J24" s="2">
        <v>16.666666670000001</v>
      </c>
      <c r="K24" s="2">
        <f t="shared" si="0"/>
        <v>18.518523329999997</v>
      </c>
      <c r="N24" s="2">
        <f t="shared" si="1"/>
        <v>35.185189999999999</v>
      </c>
    </row>
    <row r="25" spans="1:14" ht="15.6" x14ac:dyDescent="0.3">
      <c r="A25" s="2" t="s">
        <v>55</v>
      </c>
      <c r="B25" s="2" t="s">
        <v>119</v>
      </c>
      <c r="C25" s="2" t="s">
        <v>38</v>
      </c>
      <c r="D25">
        <v>16.66667</v>
      </c>
      <c r="E25" s="2">
        <v>54</v>
      </c>
      <c r="F25" s="2" t="s">
        <v>21</v>
      </c>
      <c r="G25" s="2">
        <v>6</v>
      </c>
      <c r="H25" s="2" t="s">
        <v>37</v>
      </c>
      <c r="I25" s="2">
        <v>1</v>
      </c>
      <c r="J25" s="2">
        <v>16.666666670000001</v>
      </c>
      <c r="K25" s="2">
        <f t="shared" si="0"/>
        <v>3.3299999984137685E-6</v>
      </c>
      <c r="N25" s="2">
        <f t="shared" si="1"/>
        <v>16.66667</v>
      </c>
    </row>
    <row r="26" spans="1:14" ht="15.6" x14ac:dyDescent="0.3">
      <c r="A26" s="2" t="s">
        <v>55</v>
      </c>
      <c r="B26" s="2" t="s">
        <v>119</v>
      </c>
      <c r="C26" s="2" t="s">
        <v>39</v>
      </c>
      <c r="D26">
        <v>12.962960000000001</v>
      </c>
      <c r="E26" s="2">
        <v>54</v>
      </c>
      <c r="F26" s="2" t="s">
        <v>21</v>
      </c>
      <c r="G26" s="2">
        <v>6</v>
      </c>
      <c r="H26" s="2" t="s">
        <v>37</v>
      </c>
      <c r="I26" s="2">
        <v>1</v>
      </c>
      <c r="J26" s="2">
        <v>16.666666670000001</v>
      </c>
      <c r="K26" s="2">
        <f t="shared" si="0"/>
        <v>3.7037066700000008</v>
      </c>
      <c r="N26" s="2">
        <f t="shared" si="1"/>
        <v>12.962960000000001</v>
      </c>
    </row>
    <row r="27" spans="1:14" ht="15.6" x14ac:dyDescent="0.3">
      <c r="A27" s="2" t="s">
        <v>55</v>
      </c>
      <c r="B27" s="2" t="s">
        <v>119</v>
      </c>
      <c r="C27" s="2" t="s">
        <v>40</v>
      </c>
      <c r="D27">
        <v>1.85185</v>
      </c>
      <c r="E27" s="2">
        <v>54</v>
      </c>
      <c r="F27" s="2" t="s">
        <v>21</v>
      </c>
      <c r="G27" s="2">
        <v>6</v>
      </c>
      <c r="H27" s="2" t="s">
        <v>37</v>
      </c>
      <c r="I27" s="2">
        <v>1</v>
      </c>
      <c r="J27" s="2">
        <v>16.666666670000001</v>
      </c>
      <c r="K27" s="2">
        <f t="shared" si="0"/>
        <v>14.814816670000001</v>
      </c>
      <c r="N27" s="2">
        <f t="shared" si="1"/>
        <v>1.85185</v>
      </c>
    </row>
    <row r="28" spans="1:14" ht="15.6" x14ac:dyDescent="0.3">
      <c r="A28" s="2" t="s">
        <v>55</v>
      </c>
      <c r="B28" s="2" t="s">
        <v>119</v>
      </c>
      <c r="C28" s="2" t="s">
        <v>41</v>
      </c>
      <c r="D28">
        <v>29.629629999999999</v>
      </c>
      <c r="E28" s="2">
        <v>54</v>
      </c>
      <c r="F28" s="2" t="s">
        <v>21</v>
      </c>
      <c r="G28" s="2">
        <v>6</v>
      </c>
      <c r="H28" s="2" t="s">
        <v>37</v>
      </c>
      <c r="I28" s="2">
        <v>1</v>
      </c>
      <c r="J28" s="2">
        <v>16.666666670000001</v>
      </c>
      <c r="K28" s="2">
        <f t="shared" si="0"/>
        <v>12.962963329999997</v>
      </c>
      <c r="N28" s="2">
        <f t="shared" si="1"/>
        <v>29.629629999999999</v>
      </c>
    </row>
    <row r="29" spans="1:14" ht="15.6" x14ac:dyDescent="0.3">
      <c r="A29" s="2" t="s">
        <v>55</v>
      </c>
      <c r="B29" s="2" t="s">
        <v>119</v>
      </c>
      <c r="C29" s="2" t="s">
        <v>33</v>
      </c>
      <c r="D29">
        <v>3.7037</v>
      </c>
      <c r="E29" s="2">
        <v>54</v>
      </c>
      <c r="F29" s="2" t="s">
        <v>21</v>
      </c>
      <c r="G29" s="2">
        <v>6</v>
      </c>
      <c r="H29" s="2" t="s">
        <v>37</v>
      </c>
      <c r="I29" s="2">
        <v>1</v>
      </c>
      <c r="J29" s="2">
        <v>16.666666670000001</v>
      </c>
      <c r="K29" s="2">
        <f t="shared" si="0"/>
        <v>12.962966670000002</v>
      </c>
      <c r="N29" s="2">
        <f t="shared" si="1"/>
        <v>3.7037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B446-3415-4FF8-85E0-2C0AD93DA7D1}">
  <dimension ref="A1:M29"/>
  <sheetViews>
    <sheetView zoomScale="80" zoomScaleNormal="80" workbookViewId="0">
      <selection sqref="A1:A1048576"/>
    </sheetView>
  </sheetViews>
  <sheetFormatPr defaultColWidth="11.19921875" defaultRowHeight="13.2" x14ac:dyDescent="0.25"/>
  <cols>
    <col min="1" max="1" width="11.59765625" style="2" customWidth="1"/>
    <col min="2" max="8" width="11.19921875" style="2"/>
    <col min="9" max="9" width="12.19921875" style="2" bestFit="1" customWidth="1"/>
    <col min="10" max="10" width="12.69921875" style="2" bestFit="1" customWidth="1"/>
    <col min="11" max="11" width="20.5" style="2" bestFit="1" customWidth="1"/>
    <col min="12" max="12" width="8.69921875" style="2" bestFit="1" customWidth="1"/>
    <col min="13" max="13" width="9.19921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78</v>
      </c>
      <c r="B2" s="2">
        <v>1</v>
      </c>
      <c r="C2">
        <v>3.7037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 t="shared" ref="J2:J29" si="0">ABS(I2-C2)</f>
        <v>16.296299999999999</v>
      </c>
      <c r="M2" s="2">
        <f>ABS(L2-C2)</f>
        <v>3.7037</v>
      </c>
    </row>
    <row r="3" spans="1:13" ht="15.6" x14ac:dyDescent="0.3">
      <c r="A3" s="2" t="s">
        <v>78</v>
      </c>
      <c r="B3" s="2">
        <v>2</v>
      </c>
      <c r="C3">
        <v>11.11111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si="0"/>
        <v>8.88889</v>
      </c>
      <c r="M3" s="2">
        <f t="shared" ref="M3:M29" si="1">ABS(L3-C3)</f>
        <v>11.11111</v>
      </c>
    </row>
    <row r="4" spans="1:13" ht="15.6" x14ac:dyDescent="0.3">
      <c r="A4" s="2" t="s">
        <v>78</v>
      </c>
      <c r="B4" s="2">
        <v>3</v>
      </c>
      <c r="C4">
        <v>25.925930000000001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>ABS(I4-C4)</f>
        <v>5.925930000000001</v>
      </c>
      <c r="M4" s="2">
        <f t="shared" si="1"/>
        <v>25.925930000000001</v>
      </c>
    </row>
    <row r="5" spans="1:13" ht="15.6" x14ac:dyDescent="0.3">
      <c r="A5" s="2" t="s">
        <v>78</v>
      </c>
      <c r="B5" s="2">
        <v>4</v>
      </c>
      <c r="C5">
        <v>38.888890000000004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18.888890000000004</v>
      </c>
      <c r="M5" s="2">
        <f t="shared" si="1"/>
        <v>38.888890000000004</v>
      </c>
    </row>
    <row r="6" spans="1:13" ht="15.6" x14ac:dyDescent="0.3">
      <c r="A6" s="2" t="s">
        <v>78</v>
      </c>
      <c r="B6" s="2">
        <v>5</v>
      </c>
      <c r="C6">
        <v>20.370370000000001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0.3703700000000012</v>
      </c>
      <c r="M6" s="2">
        <f t="shared" si="1"/>
        <v>20.370370000000001</v>
      </c>
    </row>
    <row r="7" spans="1:13" ht="15.6" x14ac:dyDescent="0.3">
      <c r="A7" s="2" t="s">
        <v>79</v>
      </c>
      <c r="B7" s="2">
        <v>1</v>
      </c>
      <c r="C7">
        <v>5.5555599999999998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14.44444</v>
      </c>
      <c r="M7" s="2">
        <f t="shared" si="1"/>
        <v>5.5555599999999998</v>
      </c>
    </row>
    <row r="8" spans="1:13" ht="15.6" x14ac:dyDescent="0.3">
      <c r="A8" s="2" t="s">
        <v>79</v>
      </c>
      <c r="B8" s="2">
        <v>2</v>
      </c>
      <c r="C8">
        <v>14.81481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5.1851900000000004</v>
      </c>
      <c r="M8" s="2">
        <f t="shared" si="1"/>
        <v>14.81481</v>
      </c>
    </row>
    <row r="9" spans="1:13" ht="15.6" x14ac:dyDescent="0.3">
      <c r="A9" s="2" t="s">
        <v>79</v>
      </c>
      <c r="B9" s="2">
        <v>3</v>
      </c>
      <c r="C9">
        <v>31.481480000000001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11.481480000000001</v>
      </c>
      <c r="M9" s="2">
        <f t="shared" si="1"/>
        <v>31.481480000000001</v>
      </c>
    </row>
    <row r="10" spans="1:13" ht="15.6" x14ac:dyDescent="0.3">
      <c r="A10" s="2" t="s">
        <v>79</v>
      </c>
      <c r="B10" s="2">
        <v>4</v>
      </c>
      <c r="C10">
        <v>33.333329999999997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13.333329999999997</v>
      </c>
      <c r="M10" s="2">
        <f t="shared" si="1"/>
        <v>33.333329999999997</v>
      </c>
    </row>
    <row r="11" spans="1:13" ht="15.6" x14ac:dyDescent="0.3">
      <c r="A11" s="2" t="s">
        <v>79</v>
      </c>
      <c r="B11" s="2">
        <v>5</v>
      </c>
      <c r="C11">
        <v>14.81481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5.1851900000000004</v>
      </c>
      <c r="M11" s="2">
        <f t="shared" si="1"/>
        <v>14.81481</v>
      </c>
    </row>
    <row r="12" spans="1:13" ht="15.6" x14ac:dyDescent="0.3">
      <c r="A12" s="2" t="s">
        <v>80</v>
      </c>
      <c r="B12" s="2" t="s">
        <v>19</v>
      </c>
      <c r="C12">
        <v>70.370369999999994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M12" s="2">
        <f t="shared" si="1"/>
        <v>70.370369999999994</v>
      </c>
    </row>
    <row r="13" spans="1:13" ht="15.6" x14ac:dyDescent="0.3">
      <c r="A13" s="2" t="s">
        <v>80</v>
      </c>
      <c r="B13" s="2" t="s">
        <v>22</v>
      </c>
      <c r="C13">
        <v>46.296300000000002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M13" s="2">
        <f t="shared" si="1"/>
        <v>46.296300000000002</v>
      </c>
    </row>
    <row r="14" spans="1:13" ht="15.6" x14ac:dyDescent="0.3">
      <c r="A14" s="2" t="s">
        <v>80</v>
      </c>
      <c r="B14" s="2" t="s">
        <v>23</v>
      </c>
      <c r="C14">
        <v>57.407409999999999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M14" s="2">
        <f t="shared" si="1"/>
        <v>57.407409999999999</v>
      </c>
    </row>
    <row r="15" spans="1:13" ht="15.6" x14ac:dyDescent="0.3">
      <c r="A15" s="2" t="s">
        <v>80</v>
      </c>
      <c r="B15" s="2" t="s">
        <v>24</v>
      </c>
      <c r="C15">
        <v>74.074070000000006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M15" s="2">
        <f t="shared" si="1"/>
        <v>74.074070000000006</v>
      </c>
    </row>
    <row r="16" spans="1:13" ht="15.6" x14ac:dyDescent="0.3">
      <c r="A16" s="2" t="s">
        <v>81</v>
      </c>
      <c r="B16" s="2" t="s">
        <v>26</v>
      </c>
      <c r="C16">
        <v>53.703699999999998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M16" s="2">
        <f t="shared" si="1"/>
        <v>53.703699999999998</v>
      </c>
    </row>
    <row r="17" spans="1:13" ht="15.6" x14ac:dyDescent="0.3">
      <c r="A17" s="2" t="s">
        <v>81</v>
      </c>
      <c r="B17" s="2" t="s">
        <v>27</v>
      </c>
      <c r="C17">
        <v>44.44444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M17" s="2">
        <f t="shared" si="1"/>
        <v>44.44444</v>
      </c>
    </row>
    <row r="18" spans="1:13" ht="15.6" x14ac:dyDescent="0.3">
      <c r="A18" s="2" t="s">
        <v>81</v>
      </c>
      <c r="B18" s="2" t="s">
        <v>28</v>
      </c>
      <c r="C18">
        <v>61.111109999999996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M18" s="2">
        <f t="shared" si="1"/>
        <v>61.111109999999996</v>
      </c>
    </row>
    <row r="19" spans="1:13" ht="15.6" x14ac:dyDescent="0.3">
      <c r="A19" s="2" t="s">
        <v>81</v>
      </c>
      <c r="B19" s="2" t="s">
        <v>29</v>
      </c>
      <c r="C19">
        <v>33.333329999999997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M19" s="2">
        <f t="shared" si="1"/>
        <v>33.333329999999997</v>
      </c>
    </row>
    <row r="20" spans="1:13" ht="15.6" x14ac:dyDescent="0.3">
      <c r="A20" s="2" t="s">
        <v>82</v>
      </c>
      <c r="B20" s="2" t="s">
        <v>31</v>
      </c>
      <c r="C20">
        <v>38.888890000000004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 t="shared" si="0"/>
        <v>11.111109999999996</v>
      </c>
      <c r="M20" s="2">
        <f t="shared" si="1"/>
        <v>38.888890000000004</v>
      </c>
    </row>
    <row r="21" spans="1:13" ht="15.6" x14ac:dyDescent="0.3">
      <c r="A21" s="2" t="s">
        <v>82</v>
      </c>
      <c r="B21" s="2" t="s">
        <v>33</v>
      </c>
      <c r="C21">
        <v>61.111109999999996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 t="shared" si="0"/>
        <v>11.111109999999996</v>
      </c>
      <c r="M21" s="2">
        <f t="shared" si="1"/>
        <v>61.111109999999996</v>
      </c>
    </row>
    <row r="22" spans="1:13" ht="15.6" x14ac:dyDescent="0.3">
      <c r="A22" s="2" t="s">
        <v>83</v>
      </c>
      <c r="B22" s="2" t="s">
        <v>31</v>
      </c>
      <c r="C22">
        <v>25.925930000000001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>
        <f t="shared" si="0"/>
        <v>24.074069999999999</v>
      </c>
      <c r="M22" s="2">
        <f t="shared" si="1"/>
        <v>25.925930000000001</v>
      </c>
    </row>
    <row r="23" spans="1:13" ht="15.6" x14ac:dyDescent="0.3">
      <c r="A23" s="2" t="s">
        <v>83</v>
      </c>
      <c r="B23" s="2" t="s">
        <v>33</v>
      </c>
      <c r="C23">
        <v>74.074070000000006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>
        <f t="shared" si="0"/>
        <v>24.074070000000006</v>
      </c>
      <c r="M23" s="2">
        <f t="shared" si="1"/>
        <v>74.074070000000006</v>
      </c>
    </row>
    <row r="24" spans="1:13" ht="15.6" x14ac:dyDescent="0.3">
      <c r="A24" s="2" t="s">
        <v>84</v>
      </c>
      <c r="B24" s="2" t="s">
        <v>36</v>
      </c>
      <c r="C24">
        <v>37.037039999999998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20.370373329999996</v>
      </c>
      <c r="M24" s="2">
        <f t="shared" si="1"/>
        <v>37.037039999999998</v>
      </c>
    </row>
    <row r="25" spans="1:13" ht="15.6" x14ac:dyDescent="0.3">
      <c r="A25" s="2" t="s">
        <v>84</v>
      </c>
      <c r="B25" s="2" t="s">
        <v>38</v>
      </c>
      <c r="C25">
        <v>18.518519999999999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1.8518533299999973</v>
      </c>
      <c r="M25" s="2">
        <f t="shared" si="1"/>
        <v>18.518519999999999</v>
      </c>
    </row>
    <row r="26" spans="1:13" ht="15.6" x14ac:dyDescent="0.3">
      <c r="A26" s="2" t="s">
        <v>84</v>
      </c>
      <c r="B26" s="2" t="s">
        <v>39</v>
      </c>
      <c r="C26">
        <v>14.81481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1.8518566700000019</v>
      </c>
      <c r="M26" s="2">
        <f t="shared" si="1"/>
        <v>14.81481</v>
      </c>
    </row>
    <row r="27" spans="1:13" ht="15.6" x14ac:dyDescent="0.3">
      <c r="A27" s="2" t="s">
        <v>84</v>
      </c>
      <c r="B27" s="2" t="s">
        <v>40</v>
      </c>
      <c r="C27">
        <v>1.85185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14.814816670000001</v>
      </c>
      <c r="M27" s="2">
        <f t="shared" si="1"/>
        <v>1.85185</v>
      </c>
    </row>
    <row r="28" spans="1:13" ht="15.6" x14ac:dyDescent="0.3">
      <c r="A28" s="2" t="s">
        <v>84</v>
      </c>
      <c r="B28" s="2" t="s">
        <v>41</v>
      </c>
      <c r="C28">
        <v>25.925930000000001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9.2592633299999996</v>
      </c>
      <c r="M28" s="2">
        <f t="shared" si="1"/>
        <v>25.925930000000001</v>
      </c>
    </row>
    <row r="29" spans="1:13" ht="15.6" x14ac:dyDescent="0.3">
      <c r="A29" s="2" t="s">
        <v>84</v>
      </c>
      <c r="B29" s="2" t="s">
        <v>33</v>
      </c>
      <c r="C29">
        <v>1.85185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14.814816670000001</v>
      </c>
      <c r="M29" s="2">
        <f t="shared" si="1"/>
        <v>1.85185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C315-4CD9-474E-8AFF-03006A130C67}">
  <dimension ref="A1:M29"/>
  <sheetViews>
    <sheetView zoomScale="85" zoomScaleNormal="85" workbookViewId="0">
      <selection sqref="A1:A1048576"/>
    </sheetView>
  </sheetViews>
  <sheetFormatPr defaultColWidth="11.19921875" defaultRowHeight="13.2" x14ac:dyDescent="0.25"/>
  <cols>
    <col min="1" max="1" width="11.59765625" style="2" customWidth="1"/>
    <col min="2" max="8" width="11.19921875" style="2"/>
    <col min="9" max="9" width="12.19921875" style="2" bestFit="1" customWidth="1"/>
    <col min="10" max="10" width="12.69921875" style="2" bestFit="1" customWidth="1"/>
    <col min="11" max="11" width="20.5" style="2" bestFit="1" customWidth="1"/>
    <col min="12" max="12" width="8.69921875" style="2" bestFit="1" customWidth="1"/>
    <col min="13" max="13" width="9.19921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85</v>
      </c>
      <c r="B2" s="2">
        <v>1</v>
      </c>
      <c r="C2">
        <v>3.7037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 t="shared" ref="J2:J29" si="0">ABS(I2-C2)</f>
        <v>16.296299999999999</v>
      </c>
      <c r="M2" s="2">
        <f>ABS(L2-C2)</f>
        <v>3.7037</v>
      </c>
    </row>
    <row r="3" spans="1:13" ht="15.6" x14ac:dyDescent="0.3">
      <c r="A3" s="2" t="s">
        <v>85</v>
      </c>
      <c r="B3" s="2">
        <v>2</v>
      </c>
      <c r="C3">
        <v>9.2592599999999994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si="0"/>
        <v>10.740740000000001</v>
      </c>
      <c r="M3" s="2">
        <f t="shared" ref="M3:M29" si="1">ABS(L3-C3)</f>
        <v>9.2592599999999994</v>
      </c>
    </row>
    <row r="4" spans="1:13" ht="15.6" x14ac:dyDescent="0.3">
      <c r="A4" s="2" t="s">
        <v>85</v>
      </c>
      <c r="B4" s="2">
        <v>3</v>
      </c>
      <c r="C4">
        <v>25.925930000000001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>ABS(I4-C4)</f>
        <v>5.925930000000001</v>
      </c>
      <c r="M4" s="2">
        <f t="shared" si="1"/>
        <v>25.925930000000001</v>
      </c>
    </row>
    <row r="5" spans="1:13" ht="15.6" x14ac:dyDescent="0.3">
      <c r="A5" s="2" t="s">
        <v>85</v>
      </c>
      <c r="B5" s="2">
        <v>4</v>
      </c>
      <c r="C5">
        <v>40.740740000000002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20.740740000000002</v>
      </c>
      <c r="M5" s="2">
        <f t="shared" si="1"/>
        <v>40.740740000000002</v>
      </c>
    </row>
    <row r="6" spans="1:13" ht="15.6" x14ac:dyDescent="0.3">
      <c r="A6" s="2" t="s">
        <v>85</v>
      </c>
      <c r="B6" s="2">
        <v>5</v>
      </c>
      <c r="C6">
        <v>20.370370000000001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0.3703700000000012</v>
      </c>
      <c r="M6" s="2">
        <f t="shared" si="1"/>
        <v>20.370370000000001</v>
      </c>
    </row>
    <row r="7" spans="1:13" ht="15.6" x14ac:dyDescent="0.3">
      <c r="A7" s="2" t="s">
        <v>86</v>
      </c>
      <c r="B7" s="2">
        <v>1</v>
      </c>
      <c r="C7">
        <v>1.85185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18.148150000000001</v>
      </c>
      <c r="M7" s="2">
        <f t="shared" si="1"/>
        <v>1.85185</v>
      </c>
    </row>
    <row r="8" spans="1:13" ht="15.6" x14ac:dyDescent="0.3">
      <c r="A8" s="2" t="s">
        <v>86</v>
      </c>
      <c r="B8" s="2">
        <v>2</v>
      </c>
      <c r="C8">
        <v>7.4074099999999996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12.592590000000001</v>
      </c>
      <c r="M8" s="2">
        <f t="shared" si="1"/>
        <v>7.4074099999999996</v>
      </c>
    </row>
    <row r="9" spans="1:13" ht="15.6" x14ac:dyDescent="0.3">
      <c r="A9" s="2" t="s">
        <v>86</v>
      </c>
      <c r="B9" s="2">
        <v>3</v>
      </c>
      <c r="C9">
        <v>22.22222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2.2222200000000001</v>
      </c>
      <c r="M9" s="2">
        <f t="shared" si="1"/>
        <v>22.22222</v>
      </c>
    </row>
    <row r="10" spans="1:13" ht="15.6" x14ac:dyDescent="0.3">
      <c r="A10" s="2" t="s">
        <v>86</v>
      </c>
      <c r="B10" s="2">
        <v>4</v>
      </c>
      <c r="C10">
        <v>44.44444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24.44444</v>
      </c>
      <c r="M10" s="2">
        <f t="shared" si="1"/>
        <v>44.44444</v>
      </c>
    </row>
    <row r="11" spans="1:13" ht="15.6" x14ac:dyDescent="0.3">
      <c r="A11" s="2" t="s">
        <v>86</v>
      </c>
      <c r="B11" s="2">
        <v>5</v>
      </c>
      <c r="C11">
        <v>24.074069999999999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4.074069999999999</v>
      </c>
      <c r="M11" s="2">
        <f t="shared" si="1"/>
        <v>24.074069999999999</v>
      </c>
    </row>
    <row r="12" spans="1:13" ht="15.6" x14ac:dyDescent="0.3">
      <c r="A12" s="2" t="s">
        <v>87</v>
      </c>
      <c r="B12" s="2" t="s">
        <v>19</v>
      </c>
      <c r="C12">
        <v>64.814809999999994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M12" s="2">
        <f t="shared" si="1"/>
        <v>64.814809999999994</v>
      </c>
    </row>
    <row r="13" spans="1:13" ht="15.6" x14ac:dyDescent="0.3">
      <c r="A13" s="2" t="s">
        <v>87</v>
      </c>
      <c r="B13" s="2" t="s">
        <v>22</v>
      </c>
      <c r="C13">
        <v>51.851849999999999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M13" s="2">
        <f t="shared" si="1"/>
        <v>51.851849999999999</v>
      </c>
    </row>
    <row r="14" spans="1:13" ht="15.6" x14ac:dyDescent="0.3">
      <c r="A14" s="2" t="s">
        <v>87</v>
      </c>
      <c r="B14" s="2" t="s">
        <v>23</v>
      </c>
      <c r="C14">
        <v>57.407409999999999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M14" s="2">
        <f t="shared" si="1"/>
        <v>57.407409999999999</v>
      </c>
    </row>
    <row r="15" spans="1:13" ht="15.6" x14ac:dyDescent="0.3">
      <c r="A15" s="2" t="s">
        <v>87</v>
      </c>
      <c r="B15" s="2" t="s">
        <v>24</v>
      </c>
      <c r="C15">
        <v>74.074070000000006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M15" s="2">
        <f t="shared" si="1"/>
        <v>74.074070000000006</v>
      </c>
    </row>
    <row r="16" spans="1:13" ht="15.6" x14ac:dyDescent="0.3">
      <c r="A16" s="2" t="s">
        <v>88</v>
      </c>
      <c r="B16" s="2" t="s">
        <v>26</v>
      </c>
      <c r="C16">
        <v>44.44444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M16" s="2">
        <f t="shared" si="1"/>
        <v>44.44444</v>
      </c>
    </row>
    <row r="17" spans="1:13" ht="15.6" x14ac:dyDescent="0.3">
      <c r="A17" s="2" t="s">
        <v>88</v>
      </c>
      <c r="B17" s="2" t="s">
        <v>27</v>
      </c>
      <c r="C17">
        <v>40.740740000000002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M17" s="2">
        <f t="shared" si="1"/>
        <v>40.740740000000002</v>
      </c>
    </row>
    <row r="18" spans="1:13" ht="15.6" x14ac:dyDescent="0.3">
      <c r="A18" s="2" t="s">
        <v>88</v>
      </c>
      <c r="B18" s="2" t="s">
        <v>28</v>
      </c>
      <c r="C18">
        <v>53.703699999999998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M18" s="2">
        <f t="shared" si="1"/>
        <v>53.703699999999998</v>
      </c>
    </row>
    <row r="19" spans="1:13" ht="15.6" x14ac:dyDescent="0.3">
      <c r="A19" s="2" t="s">
        <v>88</v>
      </c>
      <c r="B19" s="2" t="s">
        <v>29</v>
      </c>
      <c r="C19">
        <v>33.333329999999997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M19" s="2">
        <f t="shared" si="1"/>
        <v>33.333329999999997</v>
      </c>
    </row>
    <row r="20" spans="1:13" ht="15.6" x14ac:dyDescent="0.3">
      <c r="A20" s="2" t="s">
        <v>89</v>
      </c>
      <c r="B20" s="2" t="s">
        <v>31</v>
      </c>
      <c r="C20">
        <v>57.407409999999999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>ABS(I20-C22)</f>
        <v>16.666670000000003</v>
      </c>
      <c r="M20" s="2">
        <f>ABS(L20-C22)</f>
        <v>33.333329999999997</v>
      </c>
    </row>
    <row r="21" spans="1:13" ht="15.6" x14ac:dyDescent="0.3">
      <c r="A21" s="2" t="s">
        <v>89</v>
      </c>
      <c r="B21" s="2" t="s">
        <v>33</v>
      </c>
      <c r="C21">
        <v>42.592590000000001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>ABS(I21-C23)</f>
        <v>16.666669999999996</v>
      </c>
      <c r="M21" s="2">
        <f>ABS(L21-C23)</f>
        <v>66.666669999999996</v>
      </c>
    </row>
    <row r="22" spans="1:13" ht="15.6" x14ac:dyDescent="0.3">
      <c r="A22" s="2" t="s">
        <v>90</v>
      </c>
      <c r="B22" s="2" t="s">
        <v>31</v>
      </c>
      <c r="C22">
        <v>33.333329999999997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 t="e">
        <f>ABS(I22-#REF!)</f>
        <v>#REF!</v>
      </c>
      <c r="M22" s="2" t="e">
        <f>ABS(L22-#REF!)</f>
        <v>#REF!</v>
      </c>
    </row>
    <row r="23" spans="1:13" ht="15.6" x14ac:dyDescent="0.3">
      <c r="A23" s="2" t="s">
        <v>90</v>
      </c>
      <c r="B23" s="2" t="s">
        <v>33</v>
      </c>
      <c r="C23">
        <v>66.666669999999996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 t="e">
        <f>ABS(I23-#REF!)</f>
        <v>#REF!</v>
      </c>
      <c r="M23" s="2" t="e">
        <f>ABS(L23-#REF!)</f>
        <v>#REF!</v>
      </c>
    </row>
    <row r="24" spans="1:13" ht="15.6" x14ac:dyDescent="0.3">
      <c r="A24" s="2" t="s">
        <v>91</v>
      </c>
      <c r="B24" s="2" t="s">
        <v>36</v>
      </c>
      <c r="C24">
        <v>31.481480000000001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14.81481333</v>
      </c>
      <c r="M24" s="2">
        <f t="shared" si="1"/>
        <v>31.481480000000001</v>
      </c>
    </row>
    <row r="25" spans="1:13" ht="15.6" x14ac:dyDescent="0.3">
      <c r="A25" s="2" t="s">
        <v>91</v>
      </c>
      <c r="B25" s="2" t="s">
        <v>38</v>
      </c>
      <c r="C25">
        <v>20.370370000000001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3.7037033299999997</v>
      </c>
      <c r="M25" s="2">
        <f t="shared" si="1"/>
        <v>20.370370000000001</v>
      </c>
    </row>
    <row r="26" spans="1:13" ht="15.6" x14ac:dyDescent="0.3">
      <c r="A26" s="2" t="s">
        <v>91</v>
      </c>
      <c r="B26" s="2" t="s">
        <v>39</v>
      </c>
      <c r="C26">
        <v>16.66667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3.3299999984137685E-6</v>
      </c>
      <c r="M26" s="2">
        <f t="shared" si="1"/>
        <v>16.66667</v>
      </c>
    </row>
    <row r="27" spans="1:13" ht="15.6" x14ac:dyDescent="0.3">
      <c r="A27" s="2" t="s">
        <v>91</v>
      </c>
      <c r="B27" s="2" t="s">
        <v>40</v>
      </c>
      <c r="C27">
        <v>1.85185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14.814816670000001</v>
      </c>
      <c r="M27" s="2">
        <f t="shared" si="1"/>
        <v>1.85185</v>
      </c>
    </row>
    <row r="28" spans="1:13" ht="15.6" x14ac:dyDescent="0.3">
      <c r="A28" s="2" t="s">
        <v>91</v>
      </c>
      <c r="B28" s="2" t="s">
        <v>41</v>
      </c>
      <c r="C28">
        <v>25.925930000000001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9.2592633299999996</v>
      </c>
      <c r="M28" s="2">
        <f t="shared" si="1"/>
        <v>25.925930000000001</v>
      </c>
    </row>
    <row r="29" spans="1:13" ht="15.6" x14ac:dyDescent="0.3">
      <c r="A29" s="2" t="s">
        <v>91</v>
      </c>
      <c r="B29" s="2" t="s">
        <v>33</v>
      </c>
      <c r="C29">
        <v>3.7037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12.962966670000002</v>
      </c>
      <c r="M29" s="2">
        <f t="shared" si="1"/>
        <v>3.7037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B7BB-690B-4A4A-9BA8-837D11871DF7}">
  <dimension ref="A1:M29"/>
  <sheetViews>
    <sheetView zoomScale="85" zoomScaleNormal="85" workbookViewId="0">
      <selection sqref="A1:A1048576"/>
    </sheetView>
  </sheetViews>
  <sheetFormatPr defaultColWidth="11.19921875" defaultRowHeight="13.2" x14ac:dyDescent="0.25"/>
  <cols>
    <col min="1" max="1" width="11.59765625" style="2" customWidth="1"/>
    <col min="2" max="8" width="11.19921875" style="2"/>
    <col min="9" max="9" width="12.19921875" style="2" bestFit="1" customWidth="1"/>
    <col min="10" max="10" width="12.69921875" style="2" bestFit="1" customWidth="1"/>
    <col min="11" max="11" width="20.5" style="2" bestFit="1" customWidth="1"/>
    <col min="12" max="12" width="8.69921875" style="2" bestFit="1" customWidth="1"/>
    <col min="13" max="13" width="9.19921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92</v>
      </c>
      <c r="B2" s="2">
        <v>1</v>
      </c>
      <c r="C2">
        <v>3.7037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 t="shared" ref="J2:J29" si="0">ABS(I2-C2)</f>
        <v>16.296299999999999</v>
      </c>
      <c r="M2" s="2">
        <f>ABS(L2-C2)</f>
        <v>3.7037</v>
      </c>
    </row>
    <row r="3" spans="1:13" ht="15.6" x14ac:dyDescent="0.3">
      <c r="A3" s="2" t="s">
        <v>92</v>
      </c>
      <c r="B3" s="2">
        <v>2</v>
      </c>
      <c r="C3">
        <v>12.962960000000001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si="0"/>
        <v>7.0370399999999993</v>
      </c>
      <c r="M3" s="2">
        <f t="shared" ref="M3:M29" si="1">ABS(L3-C3)</f>
        <v>12.962960000000001</v>
      </c>
    </row>
    <row r="4" spans="1:13" ht="15.6" x14ac:dyDescent="0.3">
      <c r="A4" s="2" t="s">
        <v>92</v>
      </c>
      <c r="B4" s="2">
        <v>3</v>
      </c>
      <c r="C4">
        <v>29.629629999999999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>ABS(I4-C4)</f>
        <v>9.6296299999999988</v>
      </c>
      <c r="M4" s="2">
        <f t="shared" si="1"/>
        <v>29.629629999999999</v>
      </c>
    </row>
    <row r="5" spans="1:13" ht="15.6" x14ac:dyDescent="0.3">
      <c r="A5" s="2" t="s">
        <v>92</v>
      </c>
      <c r="B5" s="2">
        <v>4</v>
      </c>
      <c r="C5">
        <v>37.037039999999998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17.037039999999998</v>
      </c>
      <c r="M5" s="2">
        <f t="shared" si="1"/>
        <v>37.037039999999998</v>
      </c>
    </row>
    <row r="6" spans="1:13" ht="15.6" x14ac:dyDescent="0.3">
      <c r="A6" s="2" t="s">
        <v>92</v>
      </c>
      <c r="B6" s="2">
        <v>5</v>
      </c>
      <c r="C6">
        <v>16.66667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3.3333300000000001</v>
      </c>
      <c r="M6" s="2">
        <f t="shared" si="1"/>
        <v>16.66667</v>
      </c>
    </row>
    <row r="7" spans="1:13" ht="15.6" x14ac:dyDescent="0.3">
      <c r="A7" s="2" t="s">
        <v>93</v>
      </c>
      <c r="B7" s="2">
        <v>1</v>
      </c>
      <c r="C7">
        <v>5.5555599999999998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14.44444</v>
      </c>
      <c r="M7" s="2">
        <f t="shared" si="1"/>
        <v>5.5555599999999998</v>
      </c>
    </row>
    <row r="8" spans="1:13" ht="15.6" x14ac:dyDescent="0.3">
      <c r="A8" s="2" t="s">
        <v>93</v>
      </c>
      <c r="B8" s="2">
        <v>2</v>
      </c>
      <c r="C8">
        <v>14.81481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5.1851900000000004</v>
      </c>
      <c r="M8" s="2">
        <f t="shared" si="1"/>
        <v>14.81481</v>
      </c>
    </row>
    <row r="9" spans="1:13" ht="15.6" x14ac:dyDescent="0.3">
      <c r="A9" s="2" t="s">
        <v>93</v>
      </c>
      <c r="B9" s="2">
        <v>3</v>
      </c>
      <c r="C9">
        <v>33.333329999999997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13.333329999999997</v>
      </c>
      <c r="M9" s="2">
        <f t="shared" si="1"/>
        <v>33.333329999999997</v>
      </c>
    </row>
    <row r="10" spans="1:13" ht="15.6" x14ac:dyDescent="0.3">
      <c r="A10" s="2" t="s">
        <v>93</v>
      </c>
      <c r="B10" s="2">
        <v>4</v>
      </c>
      <c r="C10">
        <v>31.481480000000001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11.481480000000001</v>
      </c>
      <c r="M10" s="2">
        <f t="shared" si="1"/>
        <v>31.481480000000001</v>
      </c>
    </row>
    <row r="11" spans="1:13" ht="15.6" x14ac:dyDescent="0.3">
      <c r="A11" s="2" t="s">
        <v>93</v>
      </c>
      <c r="B11" s="2">
        <v>5</v>
      </c>
      <c r="C11">
        <v>14.81481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5.1851900000000004</v>
      </c>
      <c r="M11" s="2">
        <f t="shared" si="1"/>
        <v>14.81481</v>
      </c>
    </row>
    <row r="12" spans="1:13" ht="15.6" x14ac:dyDescent="0.3">
      <c r="A12" s="2" t="s">
        <v>94</v>
      </c>
      <c r="B12" s="2" t="s">
        <v>19</v>
      </c>
      <c r="C12">
        <v>62.962960000000002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M12" s="2">
        <f t="shared" si="1"/>
        <v>62.962960000000002</v>
      </c>
    </row>
    <row r="13" spans="1:13" ht="15.6" x14ac:dyDescent="0.3">
      <c r="A13" s="2" t="s">
        <v>94</v>
      </c>
      <c r="B13" s="2" t="s">
        <v>22</v>
      </c>
      <c r="C13">
        <v>44.44444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M13" s="2">
        <f t="shared" si="1"/>
        <v>44.44444</v>
      </c>
    </row>
    <row r="14" spans="1:13" ht="15.6" x14ac:dyDescent="0.3">
      <c r="A14" s="2" t="s">
        <v>94</v>
      </c>
      <c r="B14" s="2" t="s">
        <v>23</v>
      </c>
      <c r="C14">
        <v>53.703699999999998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M14" s="2">
        <f t="shared" si="1"/>
        <v>53.703699999999998</v>
      </c>
    </row>
    <row r="15" spans="1:13" ht="15.6" x14ac:dyDescent="0.3">
      <c r="A15" s="2" t="s">
        <v>94</v>
      </c>
      <c r="B15" s="2" t="s">
        <v>24</v>
      </c>
      <c r="C15">
        <v>68.518519999999995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M15" s="2">
        <f t="shared" si="1"/>
        <v>68.518519999999995</v>
      </c>
    </row>
    <row r="16" spans="1:13" ht="15.6" x14ac:dyDescent="0.3">
      <c r="A16" s="2" t="s">
        <v>95</v>
      </c>
      <c r="B16" s="2" t="s">
        <v>26</v>
      </c>
      <c r="C16">
        <v>40.740740000000002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M16" s="2">
        <f t="shared" si="1"/>
        <v>40.740740000000002</v>
      </c>
    </row>
    <row r="17" spans="1:13" ht="15.6" x14ac:dyDescent="0.3">
      <c r="A17" s="2" t="s">
        <v>95</v>
      </c>
      <c r="B17" s="2" t="s">
        <v>27</v>
      </c>
      <c r="C17">
        <v>50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M17" s="2">
        <f t="shared" si="1"/>
        <v>50</v>
      </c>
    </row>
    <row r="18" spans="1:13" ht="15.6" x14ac:dyDescent="0.3">
      <c r="A18" s="2" t="s">
        <v>95</v>
      </c>
      <c r="B18" s="2" t="s">
        <v>28</v>
      </c>
      <c r="C18">
        <v>57.407409999999999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M18" s="2">
        <f t="shared" si="1"/>
        <v>57.407409999999999</v>
      </c>
    </row>
    <row r="19" spans="1:13" ht="15.6" x14ac:dyDescent="0.3">
      <c r="A19" s="2" t="s">
        <v>95</v>
      </c>
      <c r="B19" s="2" t="s">
        <v>29</v>
      </c>
      <c r="C19">
        <v>33.333329999999997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M19" s="2">
        <f t="shared" si="1"/>
        <v>33.333329999999997</v>
      </c>
    </row>
    <row r="20" spans="1:13" ht="15.6" x14ac:dyDescent="0.3">
      <c r="A20" s="2" t="s">
        <v>96</v>
      </c>
      <c r="B20" s="2" t="s">
        <v>31</v>
      </c>
      <c r="C20">
        <v>46.296300000000002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>ABS(I20-C22)</f>
        <v>18.518519999999999</v>
      </c>
      <c r="M20" s="2">
        <f>ABS(L20-C22)</f>
        <v>31.481480000000001</v>
      </c>
    </row>
    <row r="21" spans="1:13" ht="15.6" x14ac:dyDescent="0.3">
      <c r="A21" s="2" t="s">
        <v>96</v>
      </c>
      <c r="B21" s="2" t="s">
        <v>33</v>
      </c>
      <c r="C21">
        <v>53.703699999999998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>ABS(I21-C23)</f>
        <v>18.518519999999995</v>
      </c>
      <c r="M21" s="2">
        <f>ABS(L21-C23)</f>
        <v>68.518519999999995</v>
      </c>
    </row>
    <row r="22" spans="1:13" ht="15.6" x14ac:dyDescent="0.3">
      <c r="A22" s="2" t="s">
        <v>97</v>
      </c>
      <c r="B22" s="2" t="s">
        <v>31</v>
      </c>
      <c r="C22">
        <v>31.481480000000001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 t="e">
        <f>ABS(I22-#REF!)</f>
        <v>#REF!</v>
      </c>
      <c r="M22" s="2" t="e">
        <f>ABS(L22-#REF!)</f>
        <v>#REF!</v>
      </c>
    </row>
    <row r="23" spans="1:13" ht="15.6" x14ac:dyDescent="0.3">
      <c r="A23" s="2" t="s">
        <v>97</v>
      </c>
      <c r="B23" s="2" t="s">
        <v>33</v>
      </c>
      <c r="C23">
        <v>68.518519999999995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 t="e">
        <f>ABS(I23-#REF!)</f>
        <v>#REF!</v>
      </c>
      <c r="M23" s="2" t="e">
        <f>ABS(L23-#REF!)</f>
        <v>#REF!</v>
      </c>
    </row>
    <row r="24" spans="1:13" ht="15.6" x14ac:dyDescent="0.3">
      <c r="A24" s="2" t="s">
        <v>98</v>
      </c>
      <c r="B24" s="2" t="s">
        <v>36</v>
      </c>
      <c r="C24">
        <v>33.333329999999997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16.666663329999995</v>
      </c>
      <c r="M24" s="2">
        <f t="shared" si="1"/>
        <v>33.333329999999997</v>
      </c>
    </row>
    <row r="25" spans="1:13" ht="15.6" x14ac:dyDescent="0.3">
      <c r="A25" s="2" t="s">
        <v>98</v>
      </c>
      <c r="B25" s="2" t="s">
        <v>38</v>
      </c>
      <c r="C25">
        <v>20.370370000000001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3.7037033299999997</v>
      </c>
      <c r="M25" s="2">
        <f t="shared" si="1"/>
        <v>20.370370000000001</v>
      </c>
    </row>
    <row r="26" spans="1:13" ht="15.6" x14ac:dyDescent="0.3">
      <c r="A26" s="2" t="s">
        <v>98</v>
      </c>
      <c r="B26" s="2" t="s">
        <v>39</v>
      </c>
      <c r="C26">
        <v>14.81481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1.8518566700000019</v>
      </c>
      <c r="M26" s="2">
        <f t="shared" si="1"/>
        <v>14.81481</v>
      </c>
    </row>
    <row r="27" spans="1:13" ht="15.6" x14ac:dyDescent="0.3">
      <c r="A27" s="2" t="s">
        <v>98</v>
      </c>
      <c r="B27" s="2" t="s">
        <v>40</v>
      </c>
      <c r="C27">
        <v>0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16.666666670000001</v>
      </c>
      <c r="M27" s="2">
        <f t="shared" si="1"/>
        <v>0</v>
      </c>
    </row>
    <row r="28" spans="1:13" ht="15.6" x14ac:dyDescent="0.3">
      <c r="A28" s="2" t="s">
        <v>98</v>
      </c>
      <c r="B28" s="2" t="s">
        <v>41</v>
      </c>
      <c r="C28">
        <v>25.925930000000001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9.2592633299999996</v>
      </c>
      <c r="M28" s="2">
        <f t="shared" si="1"/>
        <v>25.925930000000001</v>
      </c>
    </row>
    <row r="29" spans="1:13" ht="15.6" x14ac:dyDescent="0.3">
      <c r="A29" s="2" t="s">
        <v>98</v>
      </c>
      <c r="B29" s="2" t="s">
        <v>33</v>
      </c>
      <c r="C29">
        <v>5.5555599999999998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11.111106670000002</v>
      </c>
      <c r="M29" s="2">
        <f t="shared" si="1"/>
        <v>5.5555599999999998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A59D-F662-49CC-AD9A-C6367E3D676D}">
  <dimension ref="A1:M29"/>
  <sheetViews>
    <sheetView zoomScale="85" zoomScaleNormal="85" workbookViewId="0">
      <selection sqref="A1:A1048576"/>
    </sheetView>
  </sheetViews>
  <sheetFormatPr defaultColWidth="11.19921875" defaultRowHeight="13.2" x14ac:dyDescent="0.25"/>
  <cols>
    <col min="1" max="1" width="11.59765625" style="2" customWidth="1"/>
    <col min="2" max="8" width="11.19921875" style="2"/>
    <col min="9" max="9" width="12.19921875" style="2" bestFit="1" customWidth="1"/>
    <col min="10" max="10" width="12.69921875" style="2" bestFit="1" customWidth="1"/>
    <col min="11" max="11" width="20.5" style="2" bestFit="1" customWidth="1"/>
    <col min="12" max="12" width="8.69921875" style="2" bestFit="1" customWidth="1"/>
    <col min="13" max="13" width="9.19921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99</v>
      </c>
      <c r="B2" s="2">
        <v>1</v>
      </c>
      <c r="C2">
        <v>3.7037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 t="shared" ref="J2:J29" si="0">ABS(I2-C2)</f>
        <v>16.296299999999999</v>
      </c>
      <c r="M2" s="2">
        <f>ABS(L2-C2)</f>
        <v>3.7037</v>
      </c>
    </row>
    <row r="3" spans="1:13" ht="15.6" x14ac:dyDescent="0.3">
      <c r="A3" s="2" t="s">
        <v>99</v>
      </c>
      <c r="B3" s="2">
        <v>2</v>
      </c>
      <c r="C3">
        <v>11.11111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si="0"/>
        <v>8.88889</v>
      </c>
      <c r="M3" s="2">
        <f t="shared" ref="M3:M29" si="1">ABS(L3-C3)</f>
        <v>11.11111</v>
      </c>
    </row>
    <row r="4" spans="1:13" ht="15.6" x14ac:dyDescent="0.3">
      <c r="A4" s="2" t="s">
        <v>99</v>
      </c>
      <c r="B4" s="2">
        <v>3</v>
      </c>
      <c r="C4">
        <v>27.77778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>ABS(I4-C4)</f>
        <v>7.7777799999999999</v>
      </c>
      <c r="M4" s="2">
        <f t="shared" si="1"/>
        <v>27.77778</v>
      </c>
    </row>
    <row r="5" spans="1:13" ht="15.6" x14ac:dyDescent="0.3">
      <c r="A5" s="2" t="s">
        <v>99</v>
      </c>
      <c r="B5" s="2">
        <v>4</v>
      </c>
      <c r="C5">
        <v>37.037039999999998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17.037039999999998</v>
      </c>
      <c r="M5" s="2">
        <f t="shared" si="1"/>
        <v>37.037039999999998</v>
      </c>
    </row>
    <row r="6" spans="1:13" ht="15.6" x14ac:dyDescent="0.3">
      <c r="A6" s="2" t="s">
        <v>99</v>
      </c>
      <c r="B6" s="2">
        <v>5</v>
      </c>
      <c r="C6">
        <v>20.370370000000001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0.3703700000000012</v>
      </c>
      <c r="M6" s="2">
        <f t="shared" si="1"/>
        <v>20.370370000000001</v>
      </c>
    </row>
    <row r="7" spans="1:13" ht="15.6" x14ac:dyDescent="0.3">
      <c r="A7" s="2" t="s">
        <v>100</v>
      </c>
      <c r="B7" s="2">
        <v>1</v>
      </c>
      <c r="C7">
        <v>5.5555599999999998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14.44444</v>
      </c>
      <c r="M7" s="2">
        <f t="shared" si="1"/>
        <v>5.5555599999999998</v>
      </c>
    </row>
    <row r="8" spans="1:13" ht="15.6" x14ac:dyDescent="0.3">
      <c r="A8" s="2" t="s">
        <v>100</v>
      </c>
      <c r="B8" s="2">
        <v>2</v>
      </c>
      <c r="C8">
        <v>12.962960000000001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7.0370399999999993</v>
      </c>
      <c r="M8" s="2">
        <f t="shared" si="1"/>
        <v>12.962960000000001</v>
      </c>
    </row>
    <row r="9" spans="1:13" ht="15.6" x14ac:dyDescent="0.3">
      <c r="A9" s="2" t="s">
        <v>100</v>
      </c>
      <c r="B9" s="2">
        <v>3</v>
      </c>
      <c r="C9">
        <v>25.925930000000001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5.925930000000001</v>
      </c>
      <c r="M9" s="2">
        <f t="shared" si="1"/>
        <v>25.925930000000001</v>
      </c>
    </row>
    <row r="10" spans="1:13" ht="15.6" x14ac:dyDescent="0.3">
      <c r="A10" s="2" t="s">
        <v>100</v>
      </c>
      <c r="B10" s="2">
        <v>4</v>
      </c>
      <c r="C10">
        <v>35.185189999999999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15.185189999999999</v>
      </c>
      <c r="M10" s="2">
        <f t="shared" si="1"/>
        <v>35.185189999999999</v>
      </c>
    </row>
    <row r="11" spans="1:13" ht="15.6" x14ac:dyDescent="0.3">
      <c r="A11" s="2" t="s">
        <v>100</v>
      </c>
      <c r="B11" s="2">
        <v>5</v>
      </c>
      <c r="C11">
        <v>20.370370000000001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0.3703700000000012</v>
      </c>
      <c r="M11" s="2">
        <f t="shared" si="1"/>
        <v>20.370370000000001</v>
      </c>
    </row>
    <row r="12" spans="1:13" ht="15.6" x14ac:dyDescent="0.3">
      <c r="A12" s="2" t="s">
        <v>101</v>
      </c>
      <c r="B12" s="2" t="s">
        <v>19</v>
      </c>
      <c r="C12">
        <v>68.518519999999995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M12" s="2">
        <f t="shared" si="1"/>
        <v>68.518519999999995</v>
      </c>
    </row>
    <row r="13" spans="1:13" ht="15.6" x14ac:dyDescent="0.3">
      <c r="A13" s="2" t="s">
        <v>101</v>
      </c>
      <c r="B13" s="2" t="s">
        <v>22</v>
      </c>
      <c r="C13">
        <v>53.703699999999998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M13" s="2">
        <f t="shared" si="1"/>
        <v>53.703699999999998</v>
      </c>
    </row>
    <row r="14" spans="1:13" ht="15.6" x14ac:dyDescent="0.3">
      <c r="A14" s="2" t="s">
        <v>101</v>
      </c>
      <c r="B14" s="2" t="s">
        <v>23</v>
      </c>
      <c r="C14">
        <v>59.259259999999998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M14" s="2">
        <f t="shared" si="1"/>
        <v>59.259259999999998</v>
      </c>
    </row>
    <row r="15" spans="1:13" ht="15.6" x14ac:dyDescent="0.3">
      <c r="A15" s="2" t="s">
        <v>101</v>
      </c>
      <c r="B15" s="2" t="s">
        <v>24</v>
      </c>
      <c r="C15">
        <v>74.074070000000006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M15" s="2">
        <f t="shared" si="1"/>
        <v>74.074070000000006</v>
      </c>
    </row>
    <row r="16" spans="1:13" ht="15.6" x14ac:dyDescent="0.3">
      <c r="A16" s="2" t="s">
        <v>102</v>
      </c>
      <c r="B16" s="2" t="s">
        <v>26</v>
      </c>
      <c r="C16">
        <v>46.296300000000002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M16" s="2">
        <f t="shared" si="1"/>
        <v>46.296300000000002</v>
      </c>
    </row>
    <row r="17" spans="1:13" ht="15.6" x14ac:dyDescent="0.3">
      <c r="A17" s="2" t="s">
        <v>102</v>
      </c>
      <c r="B17" s="2" t="s">
        <v>27</v>
      </c>
      <c r="C17">
        <v>50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M17" s="2">
        <f t="shared" si="1"/>
        <v>50</v>
      </c>
    </row>
    <row r="18" spans="1:13" ht="15.6" x14ac:dyDescent="0.3">
      <c r="A18" s="2" t="s">
        <v>102</v>
      </c>
      <c r="B18" s="2" t="s">
        <v>28</v>
      </c>
      <c r="C18">
        <v>57.407409999999999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M18" s="2">
        <f t="shared" si="1"/>
        <v>57.407409999999999</v>
      </c>
    </row>
    <row r="19" spans="1:13" ht="15.6" x14ac:dyDescent="0.3">
      <c r="A19" s="2" t="s">
        <v>102</v>
      </c>
      <c r="B19" s="2" t="s">
        <v>29</v>
      </c>
      <c r="C19">
        <v>37.037039999999998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M19" s="2">
        <f t="shared" si="1"/>
        <v>37.037039999999998</v>
      </c>
    </row>
    <row r="20" spans="1:13" ht="15.6" x14ac:dyDescent="0.3">
      <c r="A20" s="2" t="s">
        <v>103</v>
      </c>
      <c r="B20" s="2" t="s">
        <v>31</v>
      </c>
      <c r="C20">
        <v>55.55556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>ABS(I20-C22)</f>
        <v>12.962960000000002</v>
      </c>
      <c r="M20" s="2">
        <f>ABS(L20-C22)</f>
        <v>37.037039999999998</v>
      </c>
    </row>
    <row r="21" spans="1:13" ht="15.6" x14ac:dyDescent="0.3">
      <c r="A21" s="2" t="s">
        <v>103</v>
      </c>
      <c r="B21" s="2" t="s">
        <v>33</v>
      </c>
      <c r="C21">
        <v>44.44444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>ABS(I21-C23)</f>
        <v>12.962960000000002</v>
      </c>
      <c r="M21" s="2">
        <f>ABS(L21-C23)</f>
        <v>62.962960000000002</v>
      </c>
    </row>
    <row r="22" spans="1:13" ht="15.6" x14ac:dyDescent="0.3">
      <c r="A22" s="2" t="s">
        <v>104</v>
      </c>
      <c r="B22" s="2" t="s">
        <v>31</v>
      </c>
      <c r="C22">
        <v>37.037039999999998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 t="e">
        <f>ABS(I22-#REF!)</f>
        <v>#REF!</v>
      </c>
      <c r="M22" s="2" t="e">
        <f>ABS(L22-#REF!)</f>
        <v>#REF!</v>
      </c>
    </row>
    <row r="23" spans="1:13" ht="15.6" x14ac:dyDescent="0.3">
      <c r="A23" s="2" t="s">
        <v>104</v>
      </c>
      <c r="B23" s="2" t="s">
        <v>33</v>
      </c>
      <c r="C23">
        <v>62.962960000000002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 t="e">
        <f>ABS(I23-#REF!)</f>
        <v>#REF!</v>
      </c>
      <c r="M23" s="2" t="e">
        <f>ABS(L23-#REF!)</f>
        <v>#REF!</v>
      </c>
    </row>
    <row r="24" spans="1:13" ht="15.6" x14ac:dyDescent="0.3">
      <c r="A24" s="2" t="s">
        <v>105</v>
      </c>
      <c r="B24" s="2" t="s">
        <v>36</v>
      </c>
      <c r="C24">
        <v>25.925930000000001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9.2592633299999996</v>
      </c>
      <c r="M24" s="2">
        <f t="shared" si="1"/>
        <v>25.925930000000001</v>
      </c>
    </row>
    <row r="25" spans="1:13" ht="15.6" x14ac:dyDescent="0.3">
      <c r="A25" s="2" t="s">
        <v>105</v>
      </c>
      <c r="B25" s="2" t="s">
        <v>38</v>
      </c>
      <c r="C25">
        <v>18.518519999999999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1.8518533299999973</v>
      </c>
      <c r="M25" s="2">
        <f t="shared" si="1"/>
        <v>18.518519999999999</v>
      </c>
    </row>
    <row r="26" spans="1:13" ht="15.6" x14ac:dyDescent="0.3">
      <c r="A26" s="2" t="s">
        <v>105</v>
      </c>
      <c r="B26" s="2" t="s">
        <v>39</v>
      </c>
      <c r="C26">
        <v>14.81481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1.8518566700000019</v>
      </c>
      <c r="M26" s="2">
        <f t="shared" si="1"/>
        <v>14.81481</v>
      </c>
    </row>
    <row r="27" spans="1:13" ht="15.6" x14ac:dyDescent="0.3">
      <c r="A27" s="2" t="s">
        <v>105</v>
      </c>
      <c r="B27" s="2" t="s">
        <v>40</v>
      </c>
      <c r="C27">
        <v>3.7037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12.962966670000002</v>
      </c>
      <c r="M27" s="2">
        <f t="shared" si="1"/>
        <v>3.7037</v>
      </c>
    </row>
    <row r="28" spans="1:13" ht="15.6" x14ac:dyDescent="0.3">
      <c r="A28" s="2" t="s">
        <v>105</v>
      </c>
      <c r="B28" s="2" t="s">
        <v>41</v>
      </c>
      <c r="C28">
        <v>33.333329999999997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16.666663329999995</v>
      </c>
      <c r="M28" s="2">
        <f t="shared" si="1"/>
        <v>33.333329999999997</v>
      </c>
    </row>
    <row r="29" spans="1:13" ht="15.6" x14ac:dyDescent="0.3">
      <c r="A29" s="2" t="s">
        <v>105</v>
      </c>
      <c r="B29" s="2" t="s">
        <v>33</v>
      </c>
      <c r="C29">
        <v>3.7037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12.962966670000002</v>
      </c>
      <c r="M29" s="2">
        <f t="shared" si="1"/>
        <v>3.7037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9F06-7353-4AB8-A785-31B6E75EDAD2}">
  <dimension ref="A1:M29"/>
  <sheetViews>
    <sheetView zoomScale="85" zoomScaleNormal="85" workbookViewId="0">
      <selection activeCell="O15" sqref="O15"/>
    </sheetView>
  </sheetViews>
  <sheetFormatPr defaultColWidth="11.19921875" defaultRowHeight="13.2" x14ac:dyDescent="0.25"/>
  <cols>
    <col min="1" max="1" width="11.59765625" style="2" customWidth="1"/>
    <col min="2" max="8" width="11.19921875" style="2"/>
    <col min="9" max="9" width="12.19921875" style="2" bestFit="1" customWidth="1"/>
    <col min="10" max="10" width="12.69921875" style="2" bestFit="1" customWidth="1"/>
    <col min="11" max="11" width="20.5" style="2" bestFit="1" customWidth="1"/>
    <col min="12" max="12" width="8.69921875" style="2" bestFit="1" customWidth="1"/>
    <col min="13" max="13" width="9.19921875" style="2" bestFit="1" customWidth="1"/>
    <col min="14" max="16384" width="11.19921875" style="2"/>
  </cols>
  <sheetData>
    <row r="1" spans="1:1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9</v>
      </c>
      <c r="J1" s="2" t="s">
        <v>10</v>
      </c>
      <c r="K1" s="2" t="s">
        <v>45</v>
      </c>
      <c r="L1" s="2" t="s">
        <v>7</v>
      </c>
      <c r="M1" s="2" t="s">
        <v>8</v>
      </c>
    </row>
    <row r="2" spans="1:13" ht="15.6" x14ac:dyDescent="0.3">
      <c r="A2" s="2" t="s">
        <v>106</v>
      </c>
      <c r="B2" s="2">
        <v>1</v>
      </c>
      <c r="C2">
        <v>5.5555599999999998</v>
      </c>
      <c r="D2" s="2">
        <v>54</v>
      </c>
      <c r="E2" s="2" t="s">
        <v>16</v>
      </c>
      <c r="F2" s="2">
        <v>5</v>
      </c>
      <c r="G2" s="2" t="s">
        <v>0</v>
      </c>
      <c r="H2" s="2">
        <v>1</v>
      </c>
      <c r="I2" s="2">
        <v>20</v>
      </c>
      <c r="J2" s="2">
        <f t="shared" ref="J2:J29" si="0">ABS(I2-C2)</f>
        <v>14.44444</v>
      </c>
      <c r="M2" s="2">
        <f>ABS(L2-C2)</f>
        <v>5.5555599999999998</v>
      </c>
    </row>
    <row r="3" spans="1:13" ht="15.6" x14ac:dyDescent="0.3">
      <c r="A3" s="2" t="s">
        <v>106</v>
      </c>
      <c r="B3" s="2">
        <v>2</v>
      </c>
      <c r="C3">
        <v>12.962960000000001</v>
      </c>
      <c r="D3" s="2">
        <v>54</v>
      </c>
      <c r="E3" s="2" t="s">
        <v>16</v>
      </c>
      <c r="F3" s="2">
        <v>5</v>
      </c>
      <c r="G3" s="2" t="s">
        <v>0</v>
      </c>
      <c r="H3" s="2">
        <v>1</v>
      </c>
      <c r="I3" s="2">
        <v>20</v>
      </c>
      <c r="J3" s="2">
        <f t="shared" si="0"/>
        <v>7.0370399999999993</v>
      </c>
      <c r="M3" s="2">
        <f t="shared" ref="M3:M29" si="1">ABS(L3-C3)</f>
        <v>12.962960000000001</v>
      </c>
    </row>
    <row r="4" spans="1:13" ht="15.6" x14ac:dyDescent="0.3">
      <c r="A4" s="2" t="s">
        <v>106</v>
      </c>
      <c r="B4" s="2">
        <v>3</v>
      </c>
      <c r="C4">
        <v>27.77778</v>
      </c>
      <c r="D4" s="2">
        <v>54</v>
      </c>
      <c r="E4" s="2" t="s">
        <v>16</v>
      </c>
      <c r="F4" s="2">
        <v>5</v>
      </c>
      <c r="G4" s="2" t="s">
        <v>0</v>
      </c>
      <c r="H4" s="2">
        <v>1</v>
      </c>
      <c r="I4" s="2">
        <v>20</v>
      </c>
      <c r="J4" s="2">
        <f>ABS(I4-C4)</f>
        <v>7.7777799999999999</v>
      </c>
      <c r="M4" s="2">
        <f t="shared" si="1"/>
        <v>27.77778</v>
      </c>
    </row>
    <row r="5" spans="1:13" ht="15.6" x14ac:dyDescent="0.3">
      <c r="A5" s="2" t="s">
        <v>106</v>
      </c>
      <c r="B5" s="2">
        <v>4</v>
      </c>
      <c r="C5">
        <v>37.037039999999998</v>
      </c>
      <c r="D5" s="2">
        <v>54</v>
      </c>
      <c r="E5" s="2" t="s">
        <v>16</v>
      </c>
      <c r="F5" s="2">
        <v>5</v>
      </c>
      <c r="G5" s="2" t="s">
        <v>0</v>
      </c>
      <c r="H5" s="2">
        <v>1</v>
      </c>
      <c r="I5" s="2">
        <v>20</v>
      </c>
      <c r="J5" s="2">
        <f t="shared" si="0"/>
        <v>17.037039999999998</v>
      </c>
      <c r="M5" s="2">
        <f t="shared" si="1"/>
        <v>37.037039999999998</v>
      </c>
    </row>
    <row r="6" spans="1:13" ht="15.6" x14ac:dyDescent="0.3">
      <c r="A6" s="2" t="s">
        <v>106</v>
      </c>
      <c r="B6" s="2">
        <v>5</v>
      </c>
      <c r="C6">
        <v>16.66667</v>
      </c>
      <c r="D6" s="2">
        <v>54</v>
      </c>
      <c r="E6" s="2" t="s">
        <v>16</v>
      </c>
      <c r="F6" s="2">
        <v>5</v>
      </c>
      <c r="G6" s="2" t="s">
        <v>0</v>
      </c>
      <c r="H6" s="2">
        <v>1</v>
      </c>
      <c r="I6" s="2">
        <v>20</v>
      </c>
      <c r="J6" s="2">
        <f t="shared" si="0"/>
        <v>3.3333300000000001</v>
      </c>
      <c r="M6" s="2">
        <f t="shared" si="1"/>
        <v>16.66667</v>
      </c>
    </row>
    <row r="7" spans="1:13" ht="15.6" x14ac:dyDescent="0.3">
      <c r="A7" s="2" t="s">
        <v>107</v>
      </c>
      <c r="B7" s="2">
        <v>1</v>
      </c>
      <c r="C7">
        <v>7.4074099999999996</v>
      </c>
      <c r="D7" s="2">
        <v>54</v>
      </c>
      <c r="E7" s="2" t="s">
        <v>16</v>
      </c>
      <c r="F7" s="2">
        <v>5</v>
      </c>
      <c r="G7" s="2" t="s">
        <v>0</v>
      </c>
      <c r="H7" s="2">
        <v>1</v>
      </c>
      <c r="I7" s="2">
        <v>20</v>
      </c>
      <c r="J7" s="2">
        <f t="shared" si="0"/>
        <v>12.592590000000001</v>
      </c>
      <c r="M7" s="2">
        <f t="shared" si="1"/>
        <v>7.4074099999999996</v>
      </c>
    </row>
    <row r="8" spans="1:13" ht="15.6" x14ac:dyDescent="0.3">
      <c r="A8" s="2" t="s">
        <v>107</v>
      </c>
      <c r="B8" s="2">
        <v>2</v>
      </c>
      <c r="C8">
        <v>16.66667</v>
      </c>
      <c r="D8" s="2">
        <v>54</v>
      </c>
      <c r="E8" s="2" t="s">
        <v>16</v>
      </c>
      <c r="F8" s="2">
        <v>5</v>
      </c>
      <c r="G8" s="2" t="s">
        <v>0</v>
      </c>
      <c r="H8" s="2">
        <v>1</v>
      </c>
      <c r="I8" s="2">
        <v>20</v>
      </c>
      <c r="J8" s="2">
        <f t="shared" si="0"/>
        <v>3.3333300000000001</v>
      </c>
      <c r="M8" s="2">
        <f t="shared" si="1"/>
        <v>16.66667</v>
      </c>
    </row>
    <row r="9" spans="1:13" ht="15.6" x14ac:dyDescent="0.3">
      <c r="A9" s="2" t="s">
        <v>107</v>
      </c>
      <c r="B9" s="2">
        <v>3</v>
      </c>
      <c r="C9">
        <v>31.481480000000001</v>
      </c>
      <c r="D9" s="2">
        <v>54</v>
      </c>
      <c r="E9" s="2" t="s">
        <v>16</v>
      </c>
      <c r="F9" s="2">
        <v>5</v>
      </c>
      <c r="G9" s="2" t="s">
        <v>0</v>
      </c>
      <c r="H9" s="2">
        <v>1</v>
      </c>
      <c r="I9" s="2">
        <v>20</v>
      </c>
      <c r="J9" s="2">
        <f t="shared" si="0"/>
        <v>11.481480000000001</v>
      </c>
      <c r="M9" s="2">
        <f t="shared" si="1"/>
        <v>31.481480000000001</v>
      </c>
    </row>
    <row r="10" spans="1:13" ht="15.6" x14ac:dyDescent="0.3">
      <c r="A10" s="2" t="s">
        <v>107</v>
      </c>
      <c r="B10" s="2">
        <v>4</v>
      </c>
      <c r="C10">
        <v>33.333329999999997</v>
      </c>
      <c r="D10" s="2">
        <v>54</v>
      </c>
      <c r="E10" s="2" t="s">
        <v>16</v>
      </c>
      <c r="F10" s="2">
        <v>5</v>
      </c>
      <c r="G10" s="2" t="s">
        <v>0</v>
      </c>
      <c r="H10" s="2">
        <v>1</v>
      </c>
      <c r="I10" s="2">
        <v>20</v>
      </c>
      <c r="J10" s="2">
        <f t="shared" si="0"/>
        <v>13.333329999999997</v>
      </c>
      <c r="M10" s="2">
        <f t="shared" si="1"/>
        <v>33.333329999999997</v>
      </c>
    </row>
    <row r="11" spans="1:13" ht="15.6" x14ac:dyDescent="0.3">
      <c r="A11" s="2" t="s">
        <v>107</v>
      </c>
      <c r="B11" s="2">
        <v>5</v>
      </c>
      <c r="C11">
        <v>11.11111</v>
      </c>
      <c r="D11" s="2">
        <v>54</v>
      </c>
      <c r="E11" s="2" t="s">
        <v>16</v>
      </c>
      <c r="F11" s="2">
        <v>5</v>
      </c>
      <c r="G11" s="2" t="s">
        <v>0</v>
      </c>
      <c r="H11" s="2">
        <v>1</v>
      </c>
      <c r="I11" s="2">
        <v>20</v>
      </c>
      <c r="J11" s="2">
        <f t="shared" si="0"/>
        <v>8.88889</v>
      </c>
      <c r="M11" s="2">
        <f t="shared" si="1"/>
        <v>11.11111</v>
      </c>
    </row>
    <row r="12" spans="1:13" ht="15.6" x14ac:dyDescent="0.3">
      <c r="A12" s="2" t="s">
        <v>108</v>
      </c>
      <c r="B12" s="2" t="s">
        <v>19</v>
      </c>
      <c r="C12">
        <v>77.777780000000007</v>
      </c>
      <c r="D12" s="2">
        <v>54</v>
      </c>
      <c r="E12" s="2" t="s">
        <v>21</v>
      </c>
      <c r="F12" s="2" t="s">
        <v>21</v>
      </c>
      <c r="G12" s="2" t="s">
        <v>0</v>
      </c>
      <c r="H12" s="2">
        <v>1</v>
      </c>
      <c r="I12" s="2" t="s">
        <v>20</v>
      </c>
      <c r="M12" s="2">
        <f t="shared" si="1"/>
        <v>77.777780000000007</v>
      </c>
    </row>
    <row r="13" spans="1:13" ht="15.6" x14ac:dyDescent="0.3">
      <c r="A13" s="2" t="s">
        <v>108</v>
      </c>
      <c r="B13" s="2" t="s">
        <v>22</v>
      </c>
      <c r="C13">
        <v>48.148150000000001</v>
      </c>
      <c r="D13" s="2">
        <v>54</v>
      </c>
      <c r="E13" s="2" t="s">
        <v>21</v>
      </c>
      <c r="F13" s="2" t="s">
        <v>21</v>
      </c>
      <c r="G13" s="2" t="s">
        <v>0</v>
      </c>
      <c r="H13" s="2">
        <v>1</v>
      </c>
      <c r="I13" s="2" t="s">
        <v>20</v>
      </c>
      <c r="M13" s="2">
        <f t="shared" si="1"/>
        <v>48.148150000000001</v>
      </c>
    </row>
    <row r="14" spans="1:13" ht="15.6" x14ac:dyDescent="0.3">
      <c r="A14" s="2" t="s">
        <v>108</v>
      </c>
      <c r="B14" s="2" t="s">
        <v>23</v>
      </c>
      <c r="C14">
        <v>53.703699999999998</v>
      </c>
      <c r="D14" s="2">
        <v>54</v>
      </c>
      <c r="E14" s="2" t="s">
        <v>21</v>
      </c>
      <c r="F14" s="2" t="s">
        <v>21</v>
      </c>
      <c r="G14" s="2" t="s">
        <v>0</v>
      </c>
      <c r="H14" s="2">
        <v>1</v>
      </c>
      <c r="I14" s="2" t="s">
        <v>20</v>
      </c>
      <c r="M14" s="2">
        <f t="shared" si="1"/>
        <v>53.703699999999998</v>
      </c>
    </row>
    <row r="15" spans="1:13" ht="15.6" x14ac:dyDescent="0.3">
      <c r="A15" s="2" t="s">
        <v>108</v>
      </c>
      <c r="B15" s="2" t="s">
        <v>24</v>
      </c>
      <c r="C15">
        <v>70.370369999999994</v>
      </c>
      <c r="D15" s="2">
        <v>54</v>
      </c>
      <c r="E15" s="2" t="s">
        <v>21</v>
      </c>
      <c r="F15" s="2" t="s">
        <v>21</v>
      </c>
      <c r="G15" s="2" t="s">
        <v>0</v>
      </c>
      <c r="H15" s="2">
        <v>1</v>
      </c>
      <c r="I15" s="2" t="s">
        <v>20</v>
      </c>
      <c r="M15" s="2">
        <f t="shared" si="1"/>
        <v>70.370369999999994</v>
      </c>
    </row>
    <row r="16" spans="1:13" ht="15.6" x14ac:dyDescent="0.3">
      <c r="A16" s="2" t="s">
        <v>109</v>
      </c>
      <c r="B16" s="2" t="s">
        <v>26</v>
      </c>
      <c r="C16">
        <v>44.44444</v>
      </c>
      <c r="D16" s="2">
        <v>54</v>
      </c>
      <c r="E16" s="2" t="s">
        <v>21</v>
      </c>
      <c r="F16" s="2" t="s">
        <v>21</v>
      </c>
      <c r="G16" s="2" t="s">
        <v>0</v>
      </c>
      <c r="H16" s="2">
        <v>1</v>
      </c>
      <c r="I16" s="2" t="s">
        <v>20</v>
      </c>
      <c r="M16" s="2">
        <f t="shared" si="1"/>
        <v>44.44444</v>
      </c>
    </row>
    <row r="17" spans="1:13" ht="15.6" x14ac:dyDescent="0.3">
      <c r="A17" s="2" t="s">
        <v>109</v>
      </c>
      <c r="B17" s="2" t="s">
        <v>27</v>
      </c>
      <c r="C17">
        <v>51.851849999999999</v>
      </c>
      <c r="D17" s="2">
        <v>54</v>
      </c>
      <c r="E17" s="2" t="s">
        <v>21</v>
      </c>
      <c r="F17" s="2" t="s">
        <v>21</v>
      </c>
      <c r="G17" s="2" t="s">
        <v>0</v>
      </c>
      <c r="H17" s="2">
        <v>1</v>
      </c>
      <c r="I17" s="2" t="s">
        <v>20</v>
      </c>
      <c r="M17" s="2">
        <f t="shared" si="1"/>
        <v>51.851849999999999</v>
      </c>
    </row>
    <row r="18" spans="1:13" ht="15.6" x14ac:dyDescent="0.3">
      <c r="A18" s="2" t="s">
        <v>109</v>
      </c>
      <c r="B18" s="2" t="s">
        <v>28</v>
      </c>
      <c r="C18">
        <v>64.814809999999994</v>
      </c>
      <c r="D18" s="2">
        <v>54</v>
      </c>
      <c r="E18" s="2" t="s">
        <v>21</v>
      </c>
      <c r="F18" s="2" t="s">
        <v>21</v>
      </c>
      <c r="G18" s="2" t="s">
        <v>0</v>
      </c>
      <c r="H18" s="2">
        <v>1</v>
      </c>
      <c r="I18" s="2" t="s">
        <v>20</v>
      </c>
      <c r="M18" s="2">
        <f t="shared" si="1"/>
        <v>64.814809999999994</v>
      </c>
    </row>
    <row r="19" spans="1:13" ht="15.6" x14ac:dyDescent="0.3">
      <c r="A19" s="2" t="s">
        <v>109</v>
      </c>
      <c r="B19" s="2" t="s">
        <v>29</v>
      </c>
      <c r="C19">
        <v>33.333329999999997</v>
      </c>
      <c r="D19" s="2">
        <v>54</v>
      </c>
      <c r="E19" s="2" t="s">
        <v>21</v>
      </c>
      <c r="F19" s="2" t="s">
        <v>21</v>
      </c>
      <c r="G19" s="2" t="s">
        <v>0</v>
      </c>
      <c r="H19" s="2">
        <v>1</v>
      </c>
      <c r="I19" s="2" t="s">
        <v>20</v>
      </c>
      <c r="M19" s="2">
        <f t="shared" si="1"/>
        <v>33.333329999999997</v>
      </c>
    </row>
    <row r="20" spans="1:13" ht="15.6" x14ac:dyDescent="0.3">
      <c r="A20" s="2" t="s">
        <v>110</v>
      </c>
      <c r="B20" s="2" t="s">
        <v>31</v>
      </c>
      <c r="C20">
        <v>48.148150000000001</v>
      </c>
      <c r="D20" s="2">
        <v>54</v>
      </c>
      <c r="E20" s="2" t="s">
        <v>32</v>
      </c>
      <c r="F20" s="2">
        <v>2</v>
      </c>
      <c r="G20" s="2" t="s">
        <v>0</v>
      </c>
      <c r="H20" s="2">
        <v>1</v>
      </c>
      <c r="I20" s="2">
        <v>50</v>
      </c>
      <c r="J20" s="2">
        <f>ABS(I20-C22)</f>
        <v>16.666670000000003</v>
      </c>
      <c r="M20" s="2">
        <f>ABS(L20-C22)</f>
        <v>33.333329999999997</v>
      </c>
    </row>
    <row r="21" spans="1:13" ht="15.6" x14ac:dyDescent="0.3">
      <c r="A21" s="2" t="s">
        <v>110</v>
      </c>
      <c r="B21" s="2" t="s">
        <v>33</v>
      </c>
      <c r="C21">
        <v>51.851849999999999</v>
      </c>
      <c r="D21" s="2">
        <v>54</v>
      </c>
      <c r="E21" s="2" t="s">
        <v>32</v>
      </c>
      <c r="F21" s="2">
        <v>2</v>
      </c>
      <c r="G21" s="2" t="s">
        <v>0</v>
      </c>
      <c r="H21" s="2">
        <v>1</v>
      </c>
      <c r="I21" s="2">
        <v>50</v>
      </c>
      <c r="J21" s="2">
        <f>ABS(I21-C23)</f>
        <v>16.666669999999996</v>
      </c>
      <c r="M21" s="2">
        <f>ABS(L21-C23)</f>
        <v>66.666669999999996</v>
      </c>
    </row>
    <row r="22" spans="1:13" ht="15.6" x14ac:dyDescent="0.3">
      <c r="A22" s="2" t="s">
        <v>111</v>
      </c>
      <c r="B22" s="2" t="s">
        <v>31</v>
      </c>
      <c r="C22">
        <v>33.333329999999997</v>
      </c>
      <c r="D22" s="2">
        <v>54</v>
      </c>
      <c r="E22" s="2" t="s">
        <v>32</v>
      </c>
      <c r="F22" s="2">
        <v>2</v>
      </c>
      <c r="G22" s="2" t="s">
        <v>0</v>
      </c>
      <c r="H22" s="2">
        <v>1</v>
      </c>
      <c r="I22" s="2">
        <v>50</v>
      </c>
      <c r="J22" s="2" t="e">
        <f>ABS(I22-#REF!)</f>
        <v>#REF!</v>
      </c>
      <c r="M22" s="2" t="e">
        <f>ABS(L22-#REF!)</f>
        <v>#REF!</v>
      </c>
    </row>
    <row r="23" spans="1:13" ht="15.6" x14ac:dyDescent="0.3">
      <c r="A23" s="2" t="s">
        <v>111</v>
      </c>
      <c r="B23" s="2" t="s">
        <v>33</v>
      </c>
      <c r="C23">
        <v>66.666669999999996</v>
      </c>
      <c r="D23" s="2">
        <v>54</v>
      </c>
      <c r="E23" s="2" t="s">
        <v>32</v>
      </c>
      <c r="F23" s="2">
        <v>2</v>
      </c>
      <c r="G23" s="2" t="s">
        <v>0</v>
      </c>
      <c r="H23" s="2">
        <v>1</v>
      </c>
      <c r="I23" s="2">
        <v>50</v>
      </c>
      <c r="J23" s="2" t="e">
        <f>ABS(I23-#REF!)</f>
        <v>#REF!</v>
      </c>
      <c r="M23" s="2" t="e">
        <f>ABS(L23-#REF!)</f>
        <v>#REF!</v>
      </c>
    </row>
    <row r="24" spans="1:13" ht="15.6" x14ac:dyDescent="0.3">
      <c r="A24" s="2" t="s">
        <v>112</v>
      </c>
      <c r="B24" s="2" t="s">
        <v>36</v>
      </c>
      <c r="C24">
        <v>27.77778</v>
      </c>
      <c r="D24" s="2">
        <v>54</v>
      </c>
      <c r="E24" s="2" t="s">
        <v>21</v>
      </c>
      <c r="F24" s="2">
        <v>6</v>
      </c>
      <c r="G24" s="2" t="s">
        <v>37</v>
      </c>
      <c r="H24" s="2">
        <v>1</v>
      </c>
      <c r="I24" s="2">
        <v>16.666666670000001</v>
      </c>
      <c r="J24" s="2">
        <f t="shared" si="0"/>
        <v>11.111113329999998</v>
      </c>
      <c r="M24" s="2">
        <f t="shared" si="1"/>
        <v>27.77778</v>
      </c>
    </row>
    <row r="25" spans="1:13" ht="15.6" x14ac:dyDescent="0.3">
      <c r="A25" s="2" t="s">
        <v>112</v>
      </c>
      <c r="B25" s="2" t="s">
        <v>38</v>
      </c>
      <c r="C25">
        <v>24.074069999999999</v>
      </c>
      <c r="D25" s="2">
        <v>54</v>
      </c>
      <c r="E25" s="2" t="s">
        <v>21</v>
      </c>
      <c r="F25" s="2">
        <v>6</v>
      </c>
      <c r="G25" s="2" t="s">
        <v>37</v>
      </c>
      <c r="H25" s="2">
        <v>1</v>
      </c>
      <c r="I25" s="2">
        <v>16.666666670000001</v>
      </c>
      <c r="J25" s="2">
        <f t="shared" si="0"/>
        <v>7.4074033299999975</v>
      </c>
      <c r="M25" s="2">
        <f t="shared" si="1"/>
        <v>24.074069999999999</v>
      </c>
    </row>
    <row r="26" spans="1:13" ht="15.6" x14ac:dyDescent="0.3">
      <c r="A26" s="2" t="s">
        <v>112</v>
      </c>
      <c r="B26" s="2" t="s">
        <v>39</v>
      </c>
      <c r="C26">
        <v>16.66667</v>
      </c>
      <c r="D26" s="2">
        <v>54</v>
      </c>
      <c r="E26" s="2" t="s">
        <v>21</v>
      </c>
      <c r="F26" s="2">
        <v>6</v>
      </c>
      <c r="G26" s="2" t="s">
        <v>37</v>
      </c>
      <c r="H26" s="2">
        <v>1</v>
      </c>
      <c r="I26" s="2">
        <v>16.666666670000001</v>
      </c>
      <c r="J26" s="2">
        <f t="shared" si="0"/>
        <v>3.3299999984137685E-6</v>
      </c>
      <c r="M26" s="2">
        <f t="shared" si="1"/>
        <v>16.66667</v>
      </c>
    </row>
    <row r="27" spans="1:13" ht="15.6" x14ac:dyDescent="0.3">
      <c r="A27" s="2" t="s">
        <v>112</v>
      </c>
      <c r="B27" s="2" t="s">
        <v>40</v>
      </c>
      <c r="C27">
        <v>1.85185</v>
      </c>
      <c r="D27" s="2">
        <v>54</v>
      </c>
      <c r="E27" s="2" t="s">
        <v>21</v>
      </c>
      <c r="F27" s="2">
        <v>6</v>
      </c>
      <c r="G27" s="2" t="s">
        <v>37</v>
      </c>
      <c r="H27" s="2">
        <v>1</v>
      </c>
      <c r="I27" s="2">
        <v>16.666666670000001</v>
      </c>
      <c r="J27" s="2">
        <f t="shared" si="0"/>
        <v>14.814816670000001</v>
      </c>
      <c r="M27" s="2">
        <f t="shared" si="1"/>
        <v>1.85185</v>
      </c>
    </row>
    <row r="28" spans="1:13" ht="15.6" x14ac:dyDescent="0.3">
      <c r="A28" s="2" t="s">
        <v>112</v>
      </c>
      <c r="B28" s="2" t="s">
        <v>41</v>
      </c>
      <c r="C28">
        <v>27.77778</v>
      </c>
      <c r="D28" s="2">
        <v>54</v>
      </c>
      <c r="E28" s="2" t="s">
        <v>21</v>
      </c>
      <c r="F28" s="2">
        <v>6</v>
      </c>
      <c r="G28" s="2" t="s">
        <v>37</v>
      </c>
      <c r="H28" s="2">
        <v>1</v>
      </c>
      <c r="I28" s="2">
        <v>16.666666670000001</v>
      </c>
      <c r="J28" s="2">
        <f t="shared" si="0"/>
        <v>11.111113329999998</v>
      </c>
      <c r="M28" s="2">
        <f t="shared" si="1"/>
        <v>27.77778</v>
      </c>
    </row>
    <row r="29" spans="1:13" ht="15.6" x14ac:dyDescent="0.3">
      <c r="A29" s="2" t="s">
        <v>112</v>
      </c>
      <c r="B29" s="2" t="s">
        <v>33</v>
      </c>
      <c r="C29">
        <v>1.85185</v>
      </c>
      <c r="D29" s="2">
        <v>54</v>
      </c>
      <c r="E29" s="2" t="s">
        <v>21</v>
      </c>
      <c r="F29" s="2">
        <v>6</v>
      </c>
      <c r="G29" s="2" t="s">
        <v>37</v>
      </c>
      <c r="H29" s="2">
        <v>1</v>
      </c>
      <c r="I29" s="2">
        <v>16.666666670000001</v>
      </c>
      <c r="J29" s="2">
        <f t="shared" si="0"/>
        <v>14.814816670000001</v>
      </c>
      <c r="M29" s="2">
        <f t="shared" si="1"/>
        <v>1.85185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Context</vt:lpstr>
      <vt:lpstr>Demographics</vt:lpstr>
      <vt:lpstr>Emotional Stimulus</vt:lpstr>
      <vt:lpstr>Questions</vt:lpstr>
      <vt:lpstr>answersEP01</vt:lpstr>
      <vt:lpstr>answersEP02</vt:lpstr>
      <vt:lpstr>answersEP03</vt:lpstr>
      <vt:lpstr>answersEP04</vt:lpstr>
      <vt:lpstr>answersEP05</vt:lpstr>
      <vt:lpstr>answersEP06</vt:lpstr>
      <vt:lpstr>answersEP07</vt:lpstr>
      <vt:lpstr>answersEP08</vt:lpstr>
      <vt:lpstr>answersEP09</vt:lpstr>
      <vt:lpstr>answersEP10</vt:lpstr>
      <vt:lpstr>answersEP11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 Steinmacher</dc:creator>
  <cp:lastModifiedBy>Lucas Ricieri Siquinelli Pereira</cp:lastModifiedBy>
  <dcterms:created xsi:type="dcterms:W3CDTF">2024-01-26T18:40:39Z</dcterms:created>
  <dcterms:modified xsi:type="dcterms:W3CDTF">2026-06-27T03:00:32Z</dcterms:modified>
</cp:coreProperties>
</file>