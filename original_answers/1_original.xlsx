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is339/Downloads/drive-download-20240128T190211Z-001/"/>
    </mc:Choice>
  </mc:AlternateContent>
  <xr:revisionPtr revIDLastSave="0" documentId="13_ncr:1_{3712B4AB-5200-4540-85BB-8E22C66EEECD}" xr6:coauthVersionLast="47" xr6:coauthVersionMax="47" xr10:uidLastSave="{00000000-0000-0000-0000-000000000000}"/>
  <bookViews>
    <workbookView xWindow="0" yWindow="880" windowWidth="23260" windowHeight="12460" activeTab="2" xr2:uid="{EA843604-6C2D-FF41-B50A-0B9EA0DE6259}"/>
  </bookViews>
  <sheets>
    <sheet name="Context" sheetId="1" r:id="rId1"/>
    <sheet name="Demographics" sheetId="2" r:id="rId2"/>
    <sheet name="Ques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" l="1"/>
  <c r="L2" i="3"/>
  <c r="L29" i="3"/>
  <c r="M29" i="3" s="1"/>
  <c r="L28" i="3"/>
  <c r="M28" i="3" s="1"/>
  <c r="L27" i="3"/>
  <c r="M27" i="3" s="1"/>
  <c r="L26" i="3"/>
  <c r="M26" i="3" s="1"/>
  <c r="L25" i="3"/>
  <c r="M25" i="3" s="1"/>
  <c r="L24" i="3"/>
  <c r="M24" i="3" s="1"/>
  <c r="L23" i="3"/>
  <c r="M23" i="3" s="1"/>
  <c r="L22" i="3"/>
  <c r="M22" i="3" s="1"/>
  <c r="L21" i="3"/>
  <c r="M21" i="3" s="1"/>
  <c r="L20" i="3"/>
  <c r="M20" i="3" s="1"/>
  <c r="L19" i="3"/>
  <c r="M19" i="3" s="1"/>
  <c r="L18" i="3"/>
  <c r="M18" i="3" s="1"/>
  <c r="L17" i="3"/>
  <c r="M17" i="3" s="1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M9" i="3" s="1"/>
  <c r="L8" i="3"/>
  <c r="M8" i="3" s="1"/>
  <c r="L7" i="3"/>
  <c r="M7" i="3" s="1"/>
  <c r="L6" i="3"/>
  <c r="M6" i="3" s="1"/>
  <c r="L5" i="3"/>
  <c r="M5" i="3" s="1"/>
  <c r="L4" i="3"/>
  <c r="M4" i="3" s="1"/>
  <c r="L3" i="3"/>
  <c r="M3" i="3" s="1"/>
</calcChain>
</file>

<file path=xl/sharedStrings.xml><?xml version="1.0" encoding="utf-8"?>
<sst xmlns="http://schemas.openxmlformats.org/spreadsheetml/2006/main" count="140" uniqueCount="49">
  <si>
    <t>N</t>
  </si>
  <si>
    <t>Contextual population</t>
  </si>
  <si>
    <t>Study context</t>
  </si>
  <si>
    <t>Question</t>
  </si>
  <si>
    <t>Answer</t>
  </si>
  <si>
    <t>Percentage</t>
  </si>
  <si>
    <t>Population</t>
  </si>
  <si>
    <t>Perc_GPT</t>
  </si>
  <si>
    <t>Delta_GPT</t>
  </si>
  <si>
    <t>Perc_Baseline</t>
  </si>
  <si>
    <t>Delta_Baseline</t>
  </si>
  <si>
    <t>Type</t>
  </si>
  <si>
    <t>Options</t>
  </si>
  <si>
    <t>NA</t>
  </si>
  <si>
    <t>Study</t>
  </si>
  <si>
    <t>How useful are bot recommendations as a PR author?</t>
  </si>
  <si>
    <t>Likert</t>
  </si>
  <si>
    <t>How useful are bot recommendations as a PR reviewer?</t>
  </si>
  <si>
    <t>Whenever you found bot recommendations useful, can you tell us why?</t>
  </si>
  <si>
    <t>Catch missed issues</t>
  </si>
  <si>
    <t>NO</t>
  </si>
  <si>
    <t>Mult</t>
  </si>
  <si>
    <t>Facilitates faster communication</t>
  </si>
  <si>
    <t>Suggests clear next step</t>
  </si>
  <si>
    <t>Helps with code review</t>
  </si>
  <si>
    <t>Whenever you found bot recommendations not useful, can you tell us why?</t>
  </si>
  <si>
    <t>Takes up a lot of space</t>
  </si>
  <si>
    <t>No clear next step</t>
  </si>
  <si>
    <t>Not relevant to the pull-request</t>
  </si>
  <si>
    <t>Unclear/difficult to provide feedback</t>
  </si>
  <si>
    <t>Did you know that you can give feedback on bot recommendations by replying to them?</t>
  </si>
  <si>
    <t>Yes</t>
  </si>
  <si>
    <t>Boolean</t>
  </si>
  <si>
    <t>No</t>
  </si>
  <si>
    <t>Did you know that your replies to bot recommendations are reviewed by the recommendation authors?</t>
  </si>
  <si>
    <t>Did you at anytime reply to bot recommendations?</t>
  </si>
  <si>
    <t>Wasn't aware that replying to Bot's comment is of any value</t>
  </si>
  <si>
    <t>Y</t>
  </si>
  <si>
    <t>Yes, replied to provide feedback to Bot</t>
  </si>
  <si>
    <t>Yes, replied to provide update to the PR reviewers</t>
  </si>
  <si>
    <t>Never used or seen Bot</t>
  </si>
  <si>
    <t>N/A</t>
  </si>
  <si>
    <t>Occupation</t>
  </si>
  <si>
    <t>Time of experience</t>
  </si>
  <si>
    <t>between 1 and 12 years of experience</t>
  </si>
  <si>
    <t>Absolute_Answers_GPT</t>
  </si>
  <si>
    <t>software engineers</t>
  </si>
  <si>
    <t>software engineers who work at the US division of Microsoft and have their work impacted by bot actions when they create or review pull-requests/work-items</t>
  </si>
  <si>
    <t>the survey is about developing bots: motivations, perceptions and challenges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</si>
</sst>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312C-4EF7-BC4B-BACB-AF25B99221FA}">
  <dimension ref="A1:C3"/>
  <sheetViews>
    <sheetView workbookViewId="0"/>
  </sheetViews>
  <sheetFormatPr baseColWidth="10" defaultColWidth="11.1640625" defaultRowHeight="16" x14ac:dyDescent="0.2"/>
  <cols>
    <col min="1" max="1" width="19.33203125" bestFit="1" customWidth="1"/>
    <col min="2" max="2" width="128.6640625" bestFit="1" customWidth="1"/>
  </cols>
  <sheetData>
    <row r="1" spans="1:3" x14ac:dyDescent="0.2">
      <c r="A1" s="2" t="s">
        <v>0</v>
      </c>
      <c r="B1" s="2">
        <v>54</v>
      </c>
      <c r="C1" s="1"/>
    </row>
    <row r="2" spans="1:3" x14ac:dyDescent="0.2">
      <c r="A2" s="2" t="s">
        <v>1</v>
      </c>
      <c r="B2" s="2" t="s">
        <v>47</v>
      </c>
      <c r="C2" s="1"/>
    </row>
    <row r="3" spans="1:3" x14ac:dyDescent="0.2">
      <c r="A3" s="2" t="s">
        <v>2</v>
      </c>
      <c r="B3" s="2" t="s">
        <v>48</v>
      </c>
      <c r="C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A30F-3350-FE42-80B0-045078BC2BCE}">
  <dimension ref="A1:D4"/>
  <sheetViews>
    <sheetView workbookViewId="0"/>
  </sheetViews>
  <sheetFormatPr baseColWidth="10" defaultColWidth="11.1640625" defaultRowHeight="16" x14ac:dyDescent="0.2"/>
  <cols>
    <col min="1" max="1" width="15.6640625" style="1" bestFit="1" customWidth="1"/>
    <col min="2" max="2" width="31.33203125" style="1" bestFit="1" customWidth="1"/>
    <col min="3" max="3" width="6" style="1" bestFit="1" customWidth="1"/>
  </cols>
  <sheetData>
    <row r="1" spans="1:4" x14ac:dyDescent="0.2">
      <c r="A1" s="2" t="s">
        <v>42</v>
      </c>
      <c r="B1" s="2"/>
      <c r="C1" s="2"/>
      <c r="D1" s="3"/>
    </row>
    <row r="2" spans="1:4" x14ac:dyDescent="0.2">
      <c r="A2" s="2"/>
      <c r="B2" s="2" t="s">
        <v>46</v>
      </c>
      <c r="C2" s="4">
        <v>1</v>
      </c>
      <c r="D2" s="3"/>
    </row>
    <row r="3" spans="1:4" x14ac:dyDescent="0.2">
      <c r="A3" s="2" t="s">
        <v>43</v>
      </c>
      <c r="B3" s="2"/>
      <c r="C3" s="2"/>
      <c r="D3" s="3"/>
    </row>
    <row r="4" spans="1:4" x14ac:dyDescent="0.2">
      <c r="A4" s="2"/>
      <c r="B4" s="2" t="s">
        <v>44</v>
      </c>
      <c r="C4" s="4">
        <v>1</v>
      </c>
      <c r="D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6D288-8253-534F-B994-81311E497258}">
  <dimension ref="A1:M29"/>
  <sheetViews>
    <sheetView tabSelected="1" zoomScale="109" workbookViewId="0">
      <selection activeCell="G14" sqref="G14"/>
    </sheetView>
  </sheetViews>
  <sheetFormatPr baseColWidth="10" defaultColWidth="11.1640625" defaultRowHeight="13" x14ac:dyDescent="0.15"/>
  <cols>
    <col min="1" max="1" width="31.83203125" style="2" customWidth="1"/>
    <col min="2" max="8" width="11.1640625" style="2"/>
    <col min="9" max="9" width="12.33203125" style="2" bestFit="1" customWidth="1"/>
    <col min="10" max="10" width="12.83203125" style="2" bestFit="1" customWidth="1"/>
    <col min="11" max="11" width="20.5" style="2" bestFit="1" customWidth="1"/>
    <col min="12" max="12" width="8.83203125" style="2" bestFit="1" customWidth="1"/>
    <col min="13" max="13" width="9.33203125" style="2" bestFit="1" customWidth="1"/>
    <col min="14" max="16384" width="11.1640625" style="2"/>
  </cols>
  <sheetData>
    <row r="1" spans="1:13" x14ac:dyDescent="0.15">
      <c r="A1" s="2" t="s">
        <v>3</v>
      </c>
      <c r="B1" s="2" t="s">
        <v>4</v>
      </c>
      <c r="C1" s="2" t="s">
        <v>5</v>
      </c>
      <c r="D1" s="2" t="s">
        <v>6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9</v>
      </c>
      <c r="J1" s="2" t="s">
        <v>10</v>
      </c>
      <c r="K1" s="2" t="s">
        <v>45</v>
      </c>
      <c r="L1" s="2" t="s">
        <v>7</v>
      </c>
      <c r="M1" s="2" t="s">
        <v>8</v>
      </c>
    </row>
    <row r="2" spans="1:13" x14ac:dyDescent="0.15">
      <c r="A2" s="2" t="s">
        <v>15</v>
      </c>
      <c r="B2" s="2">
        <v>1</v>
      </c>
      <c r="C2" s="2">
        <v>5.5556000000000001</v>
      </c>
      <c r="D2" s="2">
        <v>54</v>
      </c>
      <c r="E2" s="2" t="s">
        <v>16</v>
      </c>
      <c r="F2" s="2">
        <v>5</v>
      </c>
      <c r="G2" s="2" t="s">
        <v>0</v>
      </c>
      <c r="H2" s="2">
        <v>1</v>
      </c>
      <c r="I2" s="2">
        <v>20</v>
      </c>
      <c r="J2" s="2">
        <v>14.4444</v>
      </c>
      <c r="L2" s="2">
        <f>K2/D2*100</f>
        <v>0</v>
      </c>
      <c r="M2" s="2">
        <f>ABS(L2-C2)</f>
        <v>5.5556000000000001</v>
      </c>
    </row>
    <row r="3" spans="1:13" x14ac:dyDescent="0.15">
      <c r="A3" s="2" t="s">
        <v>15</v>
      </c>
      <c r="B3" s="2">
        <v>2</v>
      </c>
      <c r="C3" s="2">
        <v>5.5556000000000001</v>
      </c>
      <c r="D3" s="2">
        <v>54</v>
      </c>
      <c r="E3" s="2" t="s">
        <v>16</v>
      </c>
      <c r="F3" s="2">
        <v>5</v>
      </c>
      <c r="G3" s="2" t="s">
        <v>0</v>
      </c>
      <c r="H3" s="2">
        <v>1</v>
      </c>
      <c r="I3" s="2">
        <v>20</v>
      </c>
      <c r="J3" s="2">
        <v>14.4444</v>
      </c>
      <c r="L3" s="2">
        <f t="shared" ref="L3:L29" si="0">K3/D3*100</f>
        <v>0</v>
      </c>
      <c r="M3" s="2">
        <f t="shared" ref="M3:M29" si="1">ABS(L3-C3)</f>
        <v>5.5556000000000001</v>
      </c>
    </row>
    <row r="4" spans="1:13" x14ac:dyDescent="0.15">
      <c r="A4" s="2" t="s">
        <v>15</v>
      </c>
      <c r="B4" s="2">
        <v>3</v>
      </c>
      <c r="C4" s="2">
        <v>22.222200000000001</v>
      </c>
      <c r="D4" s="2">
        <v>54</v>
      </c>
      <c r="E4" s="2" t="s">
        <v>16</v>
      </c>
      <c r="F4" s="2">
        <v>5</v>
      </c>
      <c r="G4" s="2" t="s">
        <v>0</v>
      </c>
      <c r="H4" s="2">
        <v>1</v>
      </c>
      <c r="I4" s="2">
        <v>20</v>
      </c>
      <c r="J4" s="2">
        <v>2.2222</v>
      </c>
      <c r="L4" s="2">
        <f t="shared" si="0"/>
        <v>0</v>
      </c>
      <c r="M4" s="2">
        <f t="shared" si="1"/>
        <v>22.222200000000001</v>
      </c>
    </row>
    <row r="5" spans="1:13" x14ac:dyDescent="0.15">
      <c r="A5" s="2" t="s">
        <v>15</v>
      </c>
      <c r="B5" s="2">
        <v>4</v>
      </c>
      <c r="C5" s="2">
        <v>53.703699999999998</v>
      </c>
      <c r="D5" s="2">
        <v>54</v>
      </c>
      <c r="E5" s="2" t="s">
        <v>16</v>
      </c>
      <c r="F5" s="2">
        <v>5</v>
      </c>
      <c r="G5" s="2" t="s">
        <v>0</v>
      </c>
      <c r="H5" s="2">
        <v>1</v>
      </c>
      <c r="I5" s="2">
        <v>20</v>
      </c>
      <c r="J5" s="2">
        <v>33.703699999999998</v>
      </c>
      <c r="L5" s="2">
        <f t="shared" si="0"/>
        <v>0</v>
      </c>
      <c r="M5" s="2">
        <f t="shared" si="1"/>
        <v>53.703699999999998</v>
      </c>
    </row>
    <row r="6" spans="1:13" x14ac:dyDescent="0.15">
      <c r="A6" s="2" t="s">
        <v>15</v>
      </c>
      <c r="B6" s="2">
        <v>5</v>
      </c>
      <c r="C6" s="2">
        <v>12.962999999999999</v>
      </c>
      <c r="D6" s="2">
        <v>54</v>
      </c>
      <c r="E6" s="2" t="s">
        <v>16</v>
      </c>
      <c r="F6" s="2">
        <v>5</v>
      </c>
      <c r="G6" s="2" t="s">
        <v>0</v>
      </c>
      <c r="H6" s="2">
        <v>1</v>
      </c>
      <c r="I6" s="2">
        <v>20</v>
      </c>
      <c r="J6" s="2">
        <v>7.0369999999999999</v>
      </c>
      <c r="L6" s="2">
        <f t="shared" si="0"/>
        <v>0</v>
      </c>
      <c r="M6" s="2">
        <f t="shared" si="1"/>
        <v>12.962999999999999</v>
      </c>
    </row>
    <row r="7" spans="1:13" x14ac:dyDescent="0.15">
      <c r="A7" s="2" t="s">
        <v>17</v>
      </c>
      <c r="B7" s="2">
        <v>1</v>
      </c>
      <c r="C7" s="2">
        <v>5.5556000000000001</v>
      </c>
      <c r="D7" s="2">
        <v>54</v>
      </c>
      <c r="E7" s="2" t="s">
        <v>16</v>
      </c>
      <c r="F7" s="2">
        <v>5</v>
      </c>
      <c r="G7" s="2" t="s">
        <v>0</v>
      </c>
      <c r="H7" s="2">
        <v>1</v>
      </c>
      <c r="I7" s="2">
        <v>20</v>
      </c>
      <c r="J7" s="2">
        <v>14.4444</v>
      </c>
      <c r="L7" s="2">
        <f t="shared" si="0"/>
        <v>0</v>
      </c>
      <c r="M7" s="2">
        <f t="shared" si="1"/>
        <v>5.5556000000000001</v>
      </c>
    </row>
    <row r="8" spans="1:13" x14ac:dyDescent="0.15">
      <c r="A8" s="2" t="s">
        <v>17</v>
      </c>
      <c r="B8" s="2">
        <v>2</v>
      </c>
      <c r="C8" s="2">
        <v>3.7037</v>
      </c>
      <c r="D8" s="2">
        <v>54</v>
      </c>
      <c r="E8" s="2" t="s">
        <v>16</v>
      </c>
      <c r="F8" s="2">
        <v>5</v>
      </c>
      <c r="G8" s="2" t="s">
        <v>0</v>
      </c>
      <c r="H8" s="2">
        <v>1</v>
      </c>
      <c r="I8" s="2">
        <v>20</v>
      </c>
      <c r="J8" s="2">
        <v>16.296299999999999</v>
      </c>
      <c r="L8" s="2">
        <f t="shared" si="0"/>
        <v>0</v>
      </c>
      <c r="M8" s="2">
        <f t="shared" si="1"/>
        <v>3.7037</v>
      </c>
    </row>
    <row r="9" spans="1:13" x14ac:dyDescent="0.15">
      <c r="A9" s="2" t="s">
        <v>17</v>
      </c>
      <c r="B9" s="2">
        <v>3</v>
      </c>
      <c r="C9" s="2">
        <v>40.740699999999997</v>
      </c>
      <c r="D9" s="2">
        <v>54</v>
      </c>
      <c r="E9" s="2" t="s">
        <v>16</v>
      </c>
      <c r="F9" s="2">
        <v>5</v>
      </c>
      <c r="G9" s="2" t="s">
        <v>0</v>
      </c>
      <c r="H9" s="2">
        <v>1</v>
      </c>
      <c r="I9" s="2">
        <v>20</v>
      </c>
      <c r="J9" s="2">
        <v>20.7407</v>
      </c>
      <c r="L9" s="2">
        <f t="shared" si="0"/>
        <v>0</v>
      </c>
      <c r="M9" s="2">
        <f t="shared" si="1"/>
        <v>40.740699999999997</v>
      </c>
    </row>
    <row r="10" spans="1:13" x14ac:dyDescent="0.15">
      <c r="A10" s="2" t="s">
        <v>17</v>
      </c>
      <c r="B10" s="2">
        <v>4</v>
      </c>
      <c r="C10" s="2">
        <v>33.333300000000001</v>
      </c>
      <c r="D10" s="2">
        <v>54</v>
      </c>
      <c r="E10" s="2" t="s">
        <v>16</v>
      </c>
      <c r="F10" s="2">
        <v>5</v>
      </c>
      <c r="G10" s="2" t="s">
        <v>0</v>
      </c>
      <c r="H10" s="2">
        <v>1</v>
      </c>
      <c r="I10" s="2">
        <v>20</v>
      </c>
      <c r="J10" s="2">
        <v>13.333299999999999</v>
      </c>
      <c r="L10" s="2">
        <f t="shared" si="0"/>
        <v>0</v>
      </c>
      <c r="M10" s="2">
        <f t="shared" si="1"/>
        <v>33.333300000000001</v>
      </c>
    </row>
    <row r="11" spans="1:13" x14ac:dyDescent="0.15">
      <c r="A11" s="2" t="s">
        <v>17</v>
      </c>
      <c r="B11" s="2">
        <v>5</v>
      </c>
      <c r="C11" s="2">
        <v>16.666699999999999</v>
      </c>
      <c r="D11" s="2">
        <v>54</v>
      </c>
      <c r="E11" s="2" t="s">
        <v>16</v>
      </c>
      <c r="F11" s="2">
        <v>5</v>
      </c>
      <c r="G11" s="2" t="s">
        <v>0</v>
      </c>
      <c r="H11" s="2">
        <v>1</v>
      </c>
      <c r="I11" s="2">
        <v>20</v>
      </c>
      <c r="J11" s="2">
        <v>3.3332999999999999</v>
      </c>
      <c r="L11" s="2">
        <f t="shared" si="0"/>
        <v>0</v>
      </c>
      <c r="M11" s="2">
        <f t="shared" si="1"/>
        <v>16.666699999999999</v>
      </c>
    </row>
    <row r="12" spans="1:13" x14ac:dyDescent="0.15">
      <c r="A12" s="2" t="s">
        <v>18</v>
      </c>
      <c r="B12" s="2" t="s">
        <v>19</v>
      </c>
      <c r="C12" s="2">
        <v>51.851900000000001</v>
      </c>
      <c r="D12" s="2">
        <v>54</v>
      </c>
      <c r="E12" s="2" t="s">
        <v>21</v>
      </c>
      <c r="F12" s="2" t="s">
        <v>21</v>
      </c>
      <c r="G12" s="2" t="s">
        <v>0</v>
      </c>
      <c r="H12" s="2">
        <v>1</v>
      </c>
      <c r="I12" s="2" t="s">
        <v>20</v>
      </c>
      <c r="L12" s="2">
        <f t="shared" si="0"/>
        <v>0</v>
      </c>
      <c r="M12" s="2">
        <f t="shared" si="1"/>
        <v>51.851900000000001</v>
      </c>
    </row>
    <row r="13" spans="1:13" x14ac:dyDescent="0.15">
      <c r="A13" s="2" t="s">
        <v>18</v>
      </c>
      <c r="B13" s="2" t="s">
        <v>22</v>
      </c>
      <c r="C13" s="2">
        <v>29.6296</v>
      </c>
      <c r="D13" s="2">
        <v>54</v>
      </c>
      <c r="E13" s="2" t="s">
        <v>21</v>
      </c>
      <c r="F13" s="2" t="s">
        <v>21</v>
      </c>
      <c r="G13" s="2" t="s">
        <v>0</v>
      </c>
      <c r="H13" s="2">
        <v>1</v>
      </c>
      <c r="I13" s="2" t="s">
        <v>20</v>
      </c>
      <c r="L13" s="2">
        <f t="shared" si="0"/>
        <v>0</v>
      </c>
      <c r="M13" s="2">
        <f t="shared" si="1"/>
        <v>29.6296</v>
      </c>
    </row>
    <row r="14" spans="1:13" x14ac:dyDescent="0.15">
      <c r="A14" s="2" t="s">
        <v>18</v>
      </c>
      <c r="B14" s="2" t="s">
        <v>23</v>
      </c>
      <c r="C14" s="2">
        <v>22.222200000000001</v>
      </c>
      <c r="D14" s="2">
        <v>54</v>
      </c>
      <c r="E14" s="2" t="s">
        <v>21</v>
      </c>
      <c r="F14" s="2" t="s">
        <v>21</v>
      </c>
      <c r="G14" s="2" t="s">
        <v>0</v>
      </c>
      <c r="H14" s="2">
        <v>1</v>
      </c>
      <c r="I14" s="2" t="s">
        <v>20</v>
      </c>
      <c r="L14" s="2">
        <f t="shared" si="0"/>
        <v>0</v>
      </c>
      <c r="M14" s="2">
        <f t="shared" si="1"/>
        <v>22.222200000000001</v>
      </c>
    </row>
    <row r="15" spans="1:13" x14ac:dyDescent="0.15">
      <c r="A15" s="2" t="s">
        <v>18</v>
      </c>
      <c r="B15" s="2" t="s">
        <v>24</v>
      </c>
      <c r="C15" s="2">
        <v>16.666699999999999</v>
      </c>
      <c r="D15" s="2">
        <v>54</v>
      </c>
      <c r="E15" s="2" t="s">
        <v>21</v>
      </c>
      <c r="F15" s="2" t="s">
        <v>21</v>
      </c>
      <c r="G15" s="2" t="s">
        <v>0</v>
      </c>
      <c r="H15" s="2">
        <v>1</v>
      </c>
      <c r="I15" s="2" t="s">
        <v>20</v>
      </c>
      <c r="L15" s="2">
        <f t="shared" si="0"/>
        <v>0</v>
      </c>
      <c r="M15" s="2">
        <f t="shared" si="1"/>
        <v>16.666699999999999</v>
      </c>
    </row>
    <row r="16" spans="1:13" x14ac:dyDescent="0.15">
      <c r="A16" s="2" t="s">
        <v>25</v>
      </c>
      <c r="B16" s="2" t="s">
        <v>26</v>
      </c>
      <c r="C16" s="2">
        <v>16.666699999999999</v>
      </c>
      <c r="D16" s="2">
        <v>54</v>
      </c>
      <c r="E16" s="2" t="s">
        <v>21</v>
      </c>
      <c r="F16" s="2" t="s">
        <v>21</v>
      </c>
      <c r="G16" s="2" t="s">
        <v>0</v>
      </c>
      <c r="H16" s="2">
        <v>1</v>
      </c>
      <c r="I16" s="2" t="s">
        <v>20</v>
      </c>
      <c r="L16" s="2">
        <f t="shared" si="0"/>
        <v>0</v>
      </c>
      <c r="M16" s="2">
        <f t="shared" si="1"/>
        <v>16.666699999999999</v>
      </c>
    </row>
    <row r="17" spans="1:13" x14ac:dyDescent="0.15">
      <c r="A17" s="2" t="s">
        <v>25</v>
      </c>
      <c r="B17" s="2" t="s">
        <v>27</v>
      </c>
      <c r="C17" s="2">
        <v>16.666699999999999</v>
      </c>
      <c r="D17" s="2">
        <v>54</v>
      </c>
      <c r="E17" s="2" t="s">
        <v>21</v>
      </c>
      <c r="F17" s="2" t="s">
        <v>21</v>
      </c>
      <c r="G17" s="2" t="s">
        <v>0</v>
      </c>
      <c r="H17" s="2">
        <v>1</v>
      </c>
      <c r="I17" s="2" t="s">
        <v>20</v>
      </c>
      <c r="L17" s="2">
        <f t="shared" si="0"/>
        <v>0</v>
      </c>
      <c r="M17" s="2">
        <f t="shared" si="1"/>
        <v>16.666699999999999</v>
      </c>
    </row>
    <row r="18" spans="1:13" x14ac:dyDescent="0.15">
      <c r="A18" s="2" t="s">
        <v>25</v>
      </c>
      <c r="B18" s="2" t="s">
        <v>28</v>
      </c>
      <c r="C18" s="2">
        <v>33.333300000000001</v>
      </c>
      <c r="D18" s="2">
        <v>54</v>
      </c>
      <c r="E18" s="2" t="s">
        <v>21</v>
      </c>
      <c r="F18" s="2" t="s">
        <v>21</v>
      </c>
      <c r="G18" s="2" t="s">
        <v>0</v>
      </c>
      <c r="H18" s="2">
        <v>1</v>
      </c>
      <c r="I18" s="2" t="s">
        <v>20</v>
      </c>
      <c r="L18" s="2">
        <f t="shared" si="0"/>
        <v>0</v>
      </c>
      <c r="M18" s="2">
        <f t="shared" si="1"/>
        <v>33.333300000000001</v>
      </c>
    </row>
    <row r="19" spans="1:13" x14ac:dyDescent="0.15">
      <c r="A19" s="2" t="s">
        <v>25</v>
      </c>
      <c r="B19" s="2" t="s">
        <v>29</v>
      </c>
      <c r="C19" s="2">
        <v>11.1111</v>
      </c>
      <c r="D19" s="2">
        <v>54</v>
      </c>
      <c r="E19" s="2" t="s">
        <v>21</v>
      </c>
      <c r="F19" s="2" t="s">
        <v>21</v>
      </c>
      <c r="G19" s="2" t="s">
        <v>0</v>
      </c>
      <c r="H19" s="2">
        <v>1</v>
      </c>
      <c r="I19" s="2" t="s">
        <v>20</v>
      </c>
      <c r="L19" s="2">
        <f t="shared" si="0"/>
        <v>0</v>
      </c>
      <c r="M19" s="2">
        <f t="shared" si="1"/>
        <v>11.1111</v>
      </c>
    </row>
    <row r="20" spans="1:13" x14ac:dyDescent="0.15">
      <c r="A20" s="2" t="s">
        <v>30</v>
      </c>
      <c r="B20" s="2" t="s">
        <v>31</v>
      </c>
      <c r="C20" s="2">
        <v>87.037000000000006</v>
      </c>
      <c r="D20" s="2">
        <v>54</v>
      </c>
      <c r="E20" s="2" t="s">
        <v>32</v>
      </c>
      <c r="F20" s="2">
        <v>2</v>
      </c>
      <c r="G20" s="2" t="s">
        <v>0</v>
      </c>
      <c r="H20" s="2">
        <v>1</v>
      </c>
      <c r="I20" s="2">
        <v>50</v>
      </c>
      <c r="J20" s="2">
        <v>37.036999999999999</v>
      </c>
      <c r="L20" s="2">
        <f t="shared" si="0"/>
        <v>0</v>
      </c>
      <c r="M20" s="2">
        <f t="shared" si="1"/>
        <v>87.037000000000006</v>
      </c>
    </row>
    <row r="21" spans="1:13" x14ac:dyDescent="0.15">
      <c r="A21" s="2" t="s">
        <v>30</v>
      </c>
      <c r="B21" s="2" t="s">
        <v>33</v>
      </c>
      <c r="C21" s="2">
        <v>12.962999999999999</v>
      </c>
      <c r="D21" s="2">
        <v>54</v>
      </c>
      <c r="E21" s="2" t="s">
        <v>32</v>
      </c>
      <c r="F21" s="2">
        <v>2</v>
      </c>
      <c r="G21" s="2" t="s">
        <v>0</v>
      </c>
      <c r="H21" s="2">
        <v>1</v>
      </c>
      <c r="I21" s="2">
        <v>50</v>
      </c>
      <c r="J21" s="2">
        <v>37.036999999999999</v>
      </c>
      <c r="L21" s="2">
        <f t="shared" si="0"/>
        <v>0</v>
      </c>
      <c r="M21" s="2">
        <f t="shared" si="1"/>
        <v>12.962999999999999</v>
      </c>
    </row>
    <row r="22" spans="1:13" x14ac:dyDescent="0.15">
      <c r="A22" s="2" t="s">
        <v>34</v>
      </c>
      <c r="B22" s="2" t="s">
        <v>31</v>
      </c>
      <c r="C22" s="2">
        <v>96.296300000000002</v>
      </c>
      <c r="D22" s="2">
        <v>54</v>
      </c>
      <c r="E22" s="2" t="s">
        <v>32</v>
      </c>
      <c r="F22" s="2">
        <v>2</v>
      </c>
      <c r="G22" s="2" t="s">
        <v>0</v>
      </c>
      <c r="H22" s="2">
        <v>1</v>
      </c>
      <c r="I22" s="2">
        <v>50</v>
      </c>
      <c r="J22" s="2">
        <v>46.296300000000002</v>
      </c>
      <c r="L22" s="2">
        <f t="shared" si="0"/>
        <v>0</v>
      </c>
      <c r="M22" s="2">
        <f t="shared" si="1"/>
        <v>96.296300000000002</v>
      </c>
    </row>
    <row r="23" spans="1:13" x14ac:dyDescent="0.15">
      <c r="A23" s="2" t="s">
        <v>34</v>
      </c>
      <c r="B23" s="2" t="s">
        <v>33</v>
      </c>
      <c r="C23" s="2">
        <v>3.7037</v>
      </c>
      <c r="D23" s="2">
        <v>54</v>
      </c>
      <c r="E23" s="2" t="s">
        <v>32</v>
      </c>
      <c r="F23" s="2">
        <v>2</v>
      </c>
      <c r="G23" s="2" t="s">
        <v>0</v>
      </c>
      <c r="H23" s="2">
        <v>1</v>
      </c>
      <c r="I23" s="2">
        <v>50</v>
      </c>
      <c r="J23" s="2">
        <v>46.296300000000002</v>
      </c>
      <c r="L23" s="2">
        <f t="shared" si="0"/>
        <v>0</v>
      </c>
      <c r="M23" s="2">
        <f t="shared" si="1"/>
        <v>3.7037</v>
      </c>
    </row>
    <row r="24" spans="1:13" x14ac:dyDescent="0.15">
      <c r="A24" s="2" t="s">
        <v>35</v>
      </c>
      <c r="B24" s="2" t="s">
        <v>36</v>
      </c>
      <c r="C24" s="2">
        <v>74.074100000000001</v>
      </c>
      <c r="D24" s="2">
        <v>54</v>
      </c>
      <c r="E24" s="2" t="s">
        <v>21</v>
      </c>
      <c r="F24" s="2">
        <v>6</v>
      </c>
      <c r="G24" s="2" t="s">
        <v>37</v>
      </c>
      <c r="H24" s="2">
        <v>1</v>
      </c>
      <c r="I24" s="2">
        <v>16.666666670000001</v>
      </c>
      <c r="J24" s="2">
        <v>57.407433330000003</v>
      </c>
      <c r="L24" s="2">
        <f t="shared" si="0"/>
        <v>0</v>
      </c>
      <c r="M24" s="2">
        <f t="shared" si="1"/>
        <v>74.074100000000001</v>
      </c>
    </row>
    <row r="25" spans="1:13" x14ac:dyDescent="0.15">
      <c r="A25" s="2" t="s">
        <v>35</v>
      </c>
      <c r="B25" s="2" t="s">
        <v>38</v>
      </c>
      <c r="C25" s="2">
        <v>3.7037</v>
      </c>
      <c r="D25" s="2">
        <v>54</v>
      </c>
      <c r="E25" s="2" t="s">
        <v>21</v>
      </c>
      <c r="F25" s="2">
        <v>6</v>
      </c>
      <c r="G25" s="2" t="s">
        <v>37</v>
      </c>
      <c r="H25" s="2">
        <v>1</v>
      </c>
      <c r="I25" s="2">
        <v>16.666666670000001</v>
      </c>
      <c r="J25" s="2">
        <v>12.96296667</v>
      </c>
      <c r="L25" s="2">
        <f t="shared" si="0"/>
        <v>0</v>
      </c>
      <c r="M25" s="2">
        <f t="shared" si="1"/>
        <v>3.7037</v>
      </c>
    </row>
    <row r="26" spans="1:13" x14ac:dyDescent="0.15">
      <c r="A26" s="2" t="s">
        <v>35</v>
      </c>
      <c r="B26" s="2" t="s">
        <v>39</v>
      </c>
      <c r="C26" s="2">
        <v>11.1111</v>
      </c>
      <c r="D26" s="2">
        <v>54</v>
      </c>
      <c r="E26" s="2" t="s">
        <v>21</v>
      </c>
      <c r="F26" s="2">
        <v>6</v>
      </c>
      <c r="G26" s="2" t="s">
        <v>37</v>
      </c>
      <c r="H26" s="2">
        <v>1</v>
      </c>
      <c r="I26" s="2">
        <v>16.666666670000001</v>
      </c>
      <c r="J26" s="2">
        <v>5.5555666669999999</v>
      </c>
      <c r="L26" s="2">
        <f t="shared" si="0"/>
        <v>0</v>
      </c>
      <c r="M26" s="2">
        <f t="shared" si="1"/>
        <v>11.1111</v>
      </c>
    </row>
    <row r="27" spans="1:13" x14ac:dyDescent="0.15">
      <c r="A27" s="2" t="s">
        <v>35</v>
      </c>
      <c r="B27" s="2" t="s">
        <v>40</v>
      </c>
      <c r="C27" s="2">
        <v>5.5556000000000001</v>
      </c>
      <c r="D27" s="2">
        <v>54</v>
      </c>
      <c r="E27" s="2" t="s">
        <v>21</v>
      </c>
      <c r="F27" s="2">
        <v>6</v>
      </c>
      <c r="G27" s="2" t="s">
        <v>37</v>
      </c>
      <c r="H27" s="2">
        <v>1</v>
      </c>
      <c r="I27" s="2">
        <v>16.666666670000001</v>
      </c>
      <c r="J27" s="2">
        <v>11.11106667</v>
      </c>
      <c r="L27" s="2">
        <f t="shared" si="0"/>
        <v>0</v>
      </c>
      <c r="M27" s="2">
        <f t="shared" si="1"/>
        <v>5.5556000000000001</v>
      </c>
    </row>
    <row r="28" spans="1:13" x14ac:dyDescent="0.15">
      <c r="A28" s="2" t="s">
        <v>35</v>
      </c>
      <c r="B28" s="2" t="s">
        <v>41</v>
      </c>
      <c r="C28" s="2">
        <v>3.7037</v>
      </c>
      <c r="D28" s="2">
        <v>54</v>
      </c>
      <c r="E28" s="2" t="s">
        <v>21</v>
      </c>
      <c r="F28" s="2">
        <v>6</v>
      </c>
      <c r="G28" s="2" t="s">
        <v>37</v>
      </c>
      <c r="H28" s="2">
        <v>1</v>
      </c>
      <c r="I28" s="2">
        <v>16.666666670000001</v>
      </c>
      <c r="J28" s="2">
        <v>12.96296667</v>
      </c>
      <c r="L28" s="2">
        <f t="shared" si="0"/>
        <v>0</v>
      </c>
      <c r="M28" s="2">
        <f t="shared" si="1"/>
        <v>3.7037</v>
      </c>
    </row>
    <row r="29" spans="1:13" x14ac:dyDescent="0.15">
      <c r="A29" s="2" t="s">
        <v>35</v>
      </c>
      <c r="B29" s="2" t="s">
        <v>33</v>
      </c>
      <c r="C29" s="2">
        <v>1.8519000000000001</v>
      </c>
      <c r="D29" s="2">
        <v>54</v>
      </c>
      <c r="E29" s="2" t="s">
        <v>21</v>
      </c>
      <c r="F29" s="2">
        <v>6</v>
      </c>
      <c r="G29" s="2" t="s">
        <v>37</v>
      </c>
      <c r="H29" s="2">
        <v>1</v>
      </c>
      <c r="I29" s="2">
        <v>16.666666670000001</v>
      </c>
      <c r="J29" s="2">
        <v>14.814766669999999</v>
      </c>
      <c r="L29" s="2">
        <f t="shared" si="0"/>
        <v>0</v>
      </c>
      <c r="M29" s="2">
        <f t="shared" si="1"/>
        <v>1.8519000000000001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Context</vt:lpstr>
      <vt:lpstr>Demographics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F Steinmacher</dc:creator>
  <cp:lastModifiedBy>Igor F Steinmacher</cp:lastModifiedBy>
  <dcterms:created xsi:type="dcterms:W3CDTF">2024-01-26T18:40:39Z</dcterms:created>
  <dcterms:modified xsi:type="dcterms:W3CDTF">2024-01-28T19:14:19Z</dcterms:modified>
</cp:coreProperties>
</file>